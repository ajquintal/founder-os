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UnitEconomics" sheetId="2" state="visible" r:id="rId4"/>
    <sheet name="PnL" sheetId="3" state="visible" r:id="rId5"/>
    <sheet name="Cash13Week" sheetId="4" state="visible" r:id="rId6"/>
    <sheet name="Runwa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<sst xmlns="http://schemas.openxmlformats.org/spreadsheetml/2006/main" count="173" uniqueCount="160">
  <si>
    <t xml:space="preserve">Executive Edge OS — Financial Model · Assumptions</t>
  </si>
  <si>
    <t xml:space="preserve">ALL FIGURES ARE ASSUMPTIONS to confirm live (April pricing docs are stale per venture context). Blue = input you edit · Green = link from another sheet · Black = formula · Yellow = key sensitivity. Not licensed tax/accounting advice — CPA/controller review flagged throughout.</t>
  </si>
  <si>
    <t xml:space="preserve">PRICING ($)</t>
  </si>
  <si>
    <t xml:space="preserve">Subscription (per month)</t>
  </si>
  <si>
    <t xml:space="preserve">Unlock (one-time)</t>
  </si>
  <si>
    <t xml:space="preserve">Flagship program (one-time)</t>
  </si>
  <si>
    <t xml:space="preserve">Private client (per month, capped)</t>
  </si>
  <si>
    <t xml:space="preserve">Cohort contract value (6-mo, B2B)</t>
  </si>
  <si>
    <t xml:space="preserve">floor $30k; collected upfront → DEFERRED</t>
  </si>
  <si>
    <t xml:space="preserve">Cohort term (months)</t>
  </si>
  <si>
    <t xml:space="preserve">License setup (one-time)</t>
  </si>
  <si>
    <t xml:space="preserve">License recurring (per month)</t>
  </si>
  <si>
    <t xml:space="preserve">SUBSCRIPTION VOLUME &amp; GROWTH</t>
  </si>
  <si>
    <t xml:space="preserve">Starting active subscribers</t>
  </si>
  <si>
    <t xml:space="preserve">New subs / month (M1)</t>
  </si>
  <si>
    <t xml:space="preserve">New-sub monthly growth</t>
  </si>
  <si>
    <t xml:space="preserve">Monthly subscriber churn</t>
  </si>
  <si>
    <t xml:space="preserve">Unlocks / month (M1)</t>
  </si>
  <si>
    <t xml:space="preserve">Unlock monthly growth</t>
  </si>
  <si>
    <t xml:space="preserve">Flagship sales / month</t>
  </si>
  <si>
    <t xml:space="preserve">Active private clients</t>
  </si>
  <si>
    <t xml:space="preserve">COGS RATES</t>
  </si>
  <si>
    <t xml:space="preserve">Hosting / infra (per month)</t>
  </si>
  <si>
    <t xml:space="preserve">AI / API base (per month)</t>
  </si>
  <si>
    <t xml:space="preserve">AI / API per active sub (per month)</t>
  </si>
  <si>
    <t xml:space="preserve">Payment processing (% of revenue)</t>
  </si>
  <si>
    <t xml:space="preserve">High-touch delivery labor (% B2B/flagship/private)</t>
  </si>
  <si>
    <t xml:space="preserve">Labs / data (% of clinical revenue)</t>
  </si>
  <si>
    <t xml:space="preserve">OPERATING EXPENSES (per month, $)</t>
  </si>
  <si>
    <t xml:space="preserve">Payroll &amp; wages</t>
  </si>
  <si>
    <t xml:space="preserve">Contractors</t>
  </si>
  <si>
    <t xml:space="preserve">Software / tools</t>
  </si>
  <si>
    <t xml:space="preserve">Marketing / ads (test only — $0 until proven)</t>
  </si>
  <si>
    <t xml:space="preserve">guardrail: $0 on unvalidated; no spend w/o approval</t>
  </si>
  <si>
    <t xml:space="preserve">Professional fees (legal / CPA)</t>
  </si>
  <si>
    <t xml:space="preserve">Bank / card fees</t>
  </si>
  <si>
    <t xml:space="preserve">Insurance</t>
  </si>
  <si>
    <t xml:space="preserve">G&amp;A / admin</t>
  </si>
  <si>
    <t xml:space="preserve">CASH &amp; TAX</t>
  </si>
  <si>
    <t xml:space="preserve">Starting cash</t>
  </si>
  <si>
    <t xml:space="preserve">Tax reserve (% of net income)</t>
  </si>
  <si>
    <t xml:space="preserve">illustrative — needs CPA (entity/jurisdiction)</t>
  </si>
  <si>
    <t xml:space="preserve">Unit Economics — anchor lines (pulled from /offer-architect)</t>
  </si>
  <si>
    <t xml:space="preserve">Economics are consumed from /offer-architect, not re-derived. Blue = CAC assumption to confirm.</t>
  </si>
  <si>
    <t xml:space="preserve">B2C SUBSCRIPTION</t>
  </si>
  <si>
    <t xml:space="preserve">Price / month</t>
  </si>
  <si>
    <t xml:space="preserve">Gross margin % (blended)</t>
  </si>
  <si>
    <t xml:space="preserve">Gross profit / month</t>
  </si>
  <si>
    <t xml:space="preserve">Monthly churn</t>
  </si>
  <si>
    <t xml:space="preserve">Avg customer lifetime (months)</t>
  </si>
  <si>
    <t xml:space="preserve">LTV (gross-profit basis)</t>
  </si>
  <si>
    <t xml:space="preserve">CAC (assumption)</t>
  </si>
  <si>
    <t xml:space="preserve">CAC payback (months)</t>
  </si>
  <si>
    <t xml:space="preserve">LTV : CAC</t>
  </si>
  <si>
    <t xml:space="preserve">B2B CORPORATE COHORT</t>
  </si>
  <si>
    <t xml:space="preserve">Contract value (6-mo)</t>
  </si>
  <si>
    <t xml:space="preserve">Term (months)</t>
  </si>
  <si>
    <t xml:space="preserve">Delivery labor % (manual quarterly report)</t>
  </si>
  <si>
    <t xml:space="preserve">Gross margin %</t>
  </si>
  <si>
    <t xml:space="preserve">Gross profit / contract</t>
  </si>
  <si>
    <t xml:space="preserve">Sales cost / deal (CAC, assumption)</t>
  </si>
  <si>
    <t xml:space="preserve">Gross profit : CAC</t>
  </si>
  <si>
    <t xml:space="preserve">Monthly recognized revenue (deferred)</t>
  </si>
  <si>
    <t xml:space="preserve">Most-sensitive drivers: B2B cohort close rate + subscriber churn (protect these).</t>
  </si>
  <si>
    <t xml:space="preserve">Executive Edge OS — 12-Month P&amp;L (driver-based, accrual)</t>
  </si>
  <si>
    <t xml:space="preserve">($, monthly)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</si>
  <si>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</si>
  <si>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</si>
  <si>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</si>
  <si>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</si>
  <si>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</si>
  <si>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</si>
  <si>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</si>
  <si>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</si>
  <si>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</si>
  <si>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</si>
  <si>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</si>
  <si>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</si>
  <si>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Year 1</t>
  </si>
  <si>
    <t xml:space="preserve">VOLUME (drivers)</t>
  </si>
  <si>
    <t xml:space="preserve">Active subs — BOP</t>
  </si>
  <si>
    <t xml:space="preserve">New subs</t>
  </si>
  <si>
    <t xml:space="preserve">Churned subs</t>
  </si>
  <si>
    <t xml:space="preserve">Active subs — EOP</t>
  </si>
  <si>
    <t xml:space="preserve">Unlocks (units)</t>
  </si>
  <si>
    <t xml:space="preserve">Flagship sales (units)</t>
  </si>
  <si>
    <t xml:space="preserve">New cohorts started (input)</t>
  </si>
  <si>
    <t xml:space="preserve">Active cohorts (6-mo rev window)</t>
  </si>
  <si>
    <t xml:space="preserve">New licenses started (input)</t>
  </si>
  <si>
    <t xml:space="preserve">Active licenses (cumulative)</t>
  </si>
  <si>
    <t xml:space="preserve">REVENUE</t>
  </si>
  <si>
    <t xml:space="preserve">Subscription</t>
  </si>
  <si>
    <t xml:space="preserve">Flagship</t>
  </si>
  <si>
    <t xml:space="preserve">Private client</t>
  </si>
  <si>
    <t xml:space="preserve">Cohort (recognized, deferred)</t>
  </si>
  <si>
    <t xml:space="preserve">License setup</t>
  </si>
  <si>
    <t xml:space="preserve">License recurring</t>
  </si>
  <si>
    <t xml:space="preserve">Total revenue</t>
  </si>
  <si>
    <t xml:space="preserve">COST OF GOODS SOLD</t>
  </si>
  <si>
    <t xml:space="preserve">Hosting / infra</t>
  </si>
  <si>
    <t xml:space="preserve">AI / API</t>
  </si>
  <si>
    <t xml:space="preserve">Payment processing</t>
  </si>
  <si>
    <t xml:space="preserve">Delivery labor (high-touch)</t>
  </si>
  <si>
    <t xml:space="preserve">Labs / data</t>
  </si>
  <si>
    <t xml:space="preserve">Total COGS</t>
  </si>
  <si>
    <t xml:space="preserve">Gross profit</t>
  </si>
  <si>
    <t xml:space="preserve">OPERATING EXPENSES</t>
  </si>
  <si>
    <t xml:space="preserve">Marketing / ads</t>
  </si>
  <si>
    <t xml:space="preserve">Professional fees</t>
  </si>
  <si>
    <t xml:space="preserve">Total OpEx</t>
  </si>
  <si>
    <t xml:space="preserve">EBITDA</t>
  </si>
  <si>
    <t xml:space="preserve">EBITDA margin %</t>
  </si>
  <si>
    <t xml:space="preserve">Tax reserve (memo)</t>
  </si>
  <si>
    <t xml:space="preserve">Accrual books. Cohort revenue is DEFERRED and recognized over 6 months — cash timing differs (see Cash13Week). Rev-rec policy (ASC 606) needs CPA review.</t>
  </si>
  <si>
    <t xml:space="preserve">13-Week Direct Cash Flow (rolling) — survival view</t>
  </si>
  <si>
    <t xml:space="preserve">Direct method. Recurring items = monthly/4.33; lumpy items (cohort deposits, quarterly tax) are blue inputs placed in the week cash actually lands.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</si>
  <si>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</si>
  <si>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</si>
  <si>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</si>
  <si>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</si>
  <si>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</si>
  <si>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</si>
  <si>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W7</t>
  </si>
  <si>
    <t xml:space="preserve">W8</t>
  </si>
  <si>
    <t xml:space="preserve">W9</t>
  </si>
  <si>
    <t xml:space="preserve">W10</t>
  </si>
  <si>
    <t xml:space="preserve">W11</t>
  </si>
  <si>
    <t xml:space="preserve">W12</t>
  </si>
  <si>
    <t xml:space="preserve">W13</t>
  </si>
  <si>
    <t xml:space="preserve">Beginning cash</t>
  </si>
  <si>
    <t xml:space="preserve">INFLOWS</t>
  </si>
  <si>
    <t xml:space="preserve">Subscription collections</t>
  </si>
  <si>
    <t xml:space="preserve">One-time (unlock + flagship)</t>
  </si>
  <si>
    <t xml:space="preserve">Private client collections</t>
  </si>
  <si>
    <t xml:space="preserve">License collections</t>
  </si>
  <si>
    <t xml:space="preserve">B2B cohort deposits (input, lumpy)</t>
  </si>
  <si>
    <t xml:space="preserve">Total inflows</t>
  </si>
  <si>
    <t xml:space="preserve">OUTFLOWS</t>
  </si>
  <si>
    <t xml:space="preserve">Payroll</t>
  </si>
  <si>
    <t xml:space="preserve">Software / tools + G&amp;A</t>
  </si>
  <si>
    <t xml:space="preserve">Professional fees (legal/CPA)</t>
  </si>
  <si>
    <t xml:space="preserve">Tax reserve sweep / payment (input)</t>
  </si>
  <si>
    <t xml:space="preserve">Total outflows</t>
  </si>
  <si>
    <t xml:space="preserve">Ending cash</t>
  </si>
  <si>
    <t xml:space="preserve">Net change</t>
  </si>
  <si>
    <t xml:space="preserve">Lowest weekly ending cash (13wk):</t>
  </si>
  <si>
    <t xml:space="preserve">Cash &amp; Runway</t>
  </si>
  <si>
    <t xml:space="preserve">Current cash</t>
  </si>
  <si>
    <t xml:space="preserve">Avg monthly EBITDA (M1–M3)</t>
  </si>
  <si>
    <t xml:space="preserve">Avg monthly net burn</t>
  </si>
  <si>
    <t xml:space="preserve">Runway (months)</t>
  </si>
  <si>
    <t xml:space="preserve">Full-year EBITDA (M1–M12)</t>
  </si>
  <si>
    <t xml:space="preserve">QUICK SENSITIVITY — Year 1 (revenue flex, costs held)</t>
  </si>
  <si>
    <t xml:space="preserve">Scenario</t>
  </si>
  <si>
    <t xml:space="preserve">Revenue</t>
  </si>
  <si>
    <t xml:space="preserve">Total cost</t>
  </si>
  <si>
    <t xml:space="preserve">Worst (-20%)</t>
  </si>
  <si>
    <t xml:space="preserve">Base</t>
  </si>
  <si>
    <t xml:space="preserve">Best (+20%)</t>
  </si>
  <si>
    <t xml:space="preserve">Runway is a decision instrument, not a filing. Tax positions (reserve %, nexus, R&amp;D) need CPA review. No cash moves without approval.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</si>
</sst>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0"/>
    <numFmt numFmtId="167" formatCode="#,##0;\(#,##0\);\-"/>
    <numFmt numFmtId="168" formatCode="0.0%"/>
    <numFmt numFmtId="169" formatCode="#,##0.0;\(#,##0.0\);\-"/>
    <numFmt numFmtId="170" formatCode="\$#,##0.00"/>
    <numFmt numFmtId="171" formatCode="0.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D9D9D9"/>
        <bgColor rgb="FFBFBFB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3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4"/>
      <c r="C4" s="4"/>
    </row>
    <row r="5" customFormat="false" ht="15" hidden="false" customHeight="false" outlineLevel="0" collapsed="false">
      <c r="A5" s="5" t="s">
        <v>3</v>
      </c>
      <c r="B5" s="6" t="n">
        <v>99</v>
      </c>
    </row>
    <row r="6" customFormat="false" ht="15" hidden="false" customHeight="false" outlineLevel="0" collapsed="false">
      <c r="A6" s="5" t="s">
        <v>4</v>
      </c>
      <c r="B6" s="6" t="n">
        <v>199</v>
      </c>
    </row>
    <row r="7" customFormat="false" ht="15" hidden="false" customHeight="false" outlineLevel="0" collapsed="false">
      <c r="A7" s="5" t="s">
        <v>5</v>
      </c>
      <c r="B7" s="6" t="n">
        <v>4997</v>
      </c>
    </row>
    <row r="8" customFormat="false" ht="15" hidden="false" customHeight="false" outlineLevel="0" collapsed="false">
      <c r="A8" s="5" t="s">
        <v>6</v>
      </c>
      <c r="B8" s="6" t="n">
        <v>1750</v>
      </c>
    </row>
    <row r="9" customFormat="false" ht="15" hidden="false" customHeight="false" outlineLevel="0" collapsed="false">
      <c r="A9" s="5" t="s">
        <v>7</v>
      </c>
      <c r="B9" s="6" t="n">
        <v>36000</v>
      </c>
      <c r="C9" s="7" t="s">
        <v>8</v>
      </c>
    </row>
    <row r="10" customFormat="false" ht="15" hidden="false" customHeight="false" outlineLevel="0" collapsed="false">
      <c r="A10" s="5" t="s">
        <v>9</v>
      </c>
      <c r="B10" s="8" t="n">
        <v>6</v>
      </c>
    </row>
    <row r="11" customFormat="false" ht="15" hidden="false" customHeight="false" outlineLevel="0" collapsed="false">
      <c r="A11" s="5" t="s">
        <v>10</v>
      </c>
      <c r="B11" s="6" t="n">
        <v>15000</v>
      </c>
    </row>
    <row r="12" customFormat="false" ht="15" hidden="false" customHeight="false" outlineLevel="0" collapsed="false">
      <c r="A12" s="5" t="s">
        <v>11</v>
      </c>
      <c r="B12" s="6" t="n">
        <v>1500</v>
      </c>
    </row>
    <row r="14" customFormat="false" ht="15" hidden="false" customHeight="false" outlineLevel="0" collapsed="false">
      <c r="A14" s="3" t="s">
        <v>12</v>
      </c>
      <c r="B14" s="4"/>
      <c r="C14" s="4"/>
    </row>
    <row r="15" customFormat="false" ht="15" hidden="false" customHeight="false" outlineLevel="0" collapsed="false">
      <c r="A15" s="5" t="s">
        <v>13</v>
      </c>
      <c r="B15" s="9" t="n">
        <v>40</v>
      </c>
    </row>
    <row r="16" customFormat="false" ht="15" hidden="false" customHeight="false" outlineLevel="0" collapsed="false">
      <c r="A16" s="5" t="s">
        <v>14</v>
      </c>
      <c r="B16" s="9" t="n">
        <v>15</v>
      </c>
    </row>
    <row r="17" customFormat="false" ht="15" hidden="false" customHeight="false" outlineLevel="0" collapsed="false">
      <c r="A17" s="5" t="s">
        <v>15</v>
      </c>
      <c r="B17" s="10" t="n">
        <v>0.08</v>
      </c>
    </row>
    <row r="18" customFormat="false" ht="15" hidden="false" customHeight="false" outlineLevel="0" collapsed="false">
      <c r="A18" s="5" t="s">
        <v>16</v>
      </c>
      <c r="B18" s="10" t="n">
        <v>0.05</v>
      </c>
    </row>
    <row r="19" customFormat="false" ht="15" hidden="false" customHeight="false" outlineLevel="0" collapsed="false">
      <c r="A19" s="5" t="s">
        <v>17</v>
      </c>
      <c r="B19" s="9" t="n">
        <v>25</v>
      </c>
    </row>
    <row r="20" customFormat="false" ht="15" hidden="false" customHeight="false" outlineLevel="0" collapsed="false">
      <c r="A20" s="5" t="s">
        <v>18</v>
      </c>
      <c r="B20" s="10" t="n">
        <v>0.05</v>
      </c>
    </row>
    <row r="21" customFormat="false" ht="15" hidden="false" customHeight="false" outlineLevel="0" collapsed="false">
      <c r="A21" s="5" t="s">
        <v>19</v>
      </c>
      <c r="B21" s="11" t="n">
        <v>1</v>
      </c>
    </row>
    <row r="22" customFormat="false" ht="15" hidden="false" customHeight="false" outlineLevel="0" collapsed="false">
      <c r="A22" s="5" t="s">
        <v>20</v>
      </c>
      <c r="B22" s="9" t="n">
        <v>3</v>
      </c>
    </row>
    <row r="24" customFormat="false" ht="15" hidden="false" customHeight="false" outlineLevel="0" collapsed="false">
      <c r="A24" s="3" t="s">
        <v>21</v>
      </c>
      <c r="B24" s="4"/>
      <c r="C24" s="4"/>
    </row>
    <row r="25" customFormat="false" ht="15" hidden="false" customHeight="false" outlineLevel="0" collapsed="false">
      <c r="A25" s="5" t="s">
        <v>22</v>
      </c>
      <c r="B25" s="6" t="n">
        <v>1500</v>
      </c>
    </row>
    <row r="26" customFormat="false" ht="15" hidden="false" customHeight="false" outlineLevel="0" collapsed="false">
      <c r="A26" s="5" t="s">
        <v>23</v>
      </c>
      <c r="B26" s="6" t="n">
        <v>400</v>
      </c>
    </row>
    <row r="27" customFormat="false" ht="15" hidden="false" customHeight="false" outlineLevel="0" collapsed="false">
      <c r="A27" s="5" t="s">
        <v>24</v>
      </c>
      <c r="B27" s="12" t="n">
        <v>2</v>
      </c>
    </row>
    <row r="28" customFormat="false" ht="15" hidden="false" customHeight="false" outlineLevel="0" collapsed="false">
      <c r="A28" s="5" t="s">
        <v>25</v>
      </c>
      <c r="B28" s="10" t="n">
        <v>0.03</v>
      </c>
    </row>
    <row r="29" customFormat="false" ht="15" hidden="false" customHeight="false" outlineLevel="0" collapsed="false">
      <c r="A29" s="5" t="s">
        <v>26</v>
      </c>
      <c r="B29" s="10" t="n">
        <v>0.3</v>
      </c>
    </row>
    <row r="30" customFormat="false" ht="15" hidden="false" customHeight="false" outlineLevel="0" collapsed="false">
      <c r="A30" s="5" t="s">
        <v>27</v>
      </c>
      <c r="B30" s="10" t="n">
        <v>0.06</v>
      </c>
    </row>
    <row r="32" customFormat="false" ht="15" hidden="false" customHeight="false" outlineLevel="0" collapsed="false">
      <c r="A32" s="3" t="s">
        <v>28</v>
      </c>
      <c r="B32" s="4"/>
      <c r="C32" s="4"/>
    </row>
    <row r="33" customFormat="false" ht="15" hidden="false" customHeight="false" outlineLevel="0" collapsed="false">
      <c r="A33" s="5" t="s">
        <v>29</v>
      </c>
      <c r="B33" s="6" t="n">
        <v>6000</v>
      </c>
    </row>
    <row r="34" customFormat="false" ht="15" hidden="false" customHeight="false" outlineLevel="0" collapsed="false">
      <c r="A34" s="5" t="s">
        <v>30</v>
      </c>
      <c r="B34" s="6" t="n">
        <v>3000</v>
      </c>
    </row>
    <row r="35" customFormat="false" ht="15" hidden="false" customHeight="false" outlineLevel="0" collapsed="false">
      <c r="A35" s="5" t="s">
        <v>31</v>
      </c>
      <c r="B35" s="6" t="n">
        <v>1200</v>
      </c>
    </row>
    <row r="36" customFormat="false" ht="15" hidden="false" customHeight="false" outlineLevel="0" collapsed="false">
      <c r="A36" s="5" t="s">
        <v>32</v>
      </c>
      <c r="B36" s="6" t="n">
        <v>0</v>
      </c>
      <c r="C36" s="7" t="s">
        <v>33</v>
      </c>
    </row>
    <row r="37" customFormat="false" ht="15" hidden="false" customHeight="false" outlineLevel="0" collapsed="false">
      <c r="A37" s="5" t="s">
        <v>34</v>
      </c>
      <c r="B37" s="6" t="n">
        <v>1500</v>
      </c>
    </row>
    <row r="38" customFormat="false" ht="15" hidden="false" customHeight="false" outlineLevel="0" collapsed="false">
      <c r="A38" s="5" t="s">
        <v>35</v>
      </c>
      <c r="B38" s="6" t="n">
        <v>150</v>
      </c>
    </row>
    <row r="39" customFormat="false" ht="15" hidden="false" customHeight="false" outlineLevel="0" collapsed="false">
      <c r="A39" s="5" t="s">
        <v>36</v>
      </c>
      <c r="B39" s="6" t="n">
        <v>300</v>
      </c>
    </row>
    <row r="40" customFormat="false" ht="15" hidden="false" customHeight="false" outlineLevel="0" collapsed="false">
      <c r="A40" s="5" t="s">
        <v>37</v>
      </c>
      <c r="B40" s="6" t="n">
        <v>500</v>
      </c>
    </row>
    <row r="42" customFormat="false" ht="15" hidden="false" customHeight="false" outlineLevel="0" collapsed="false">
      <c r="A42" s="3" t="s">
        <v>38</v>
      </c>
      <c r="B42" s="4"/>
      <c r="C42" s="4"/>
    </row>
    <row r="43" customFormat="false" ht="15" hidden="false" customHeight="false" outlineLevel="0" collapsed="false">
      <c r="A43" s="5" t="s">
        <v>39</v>
      </c>
      <c r="B43" s="6" t="n">
        <v>120000</v>
      </c>
    </row>
    <row r="44" customFormat="false" ht="15" hidden="false" customHeight="false" outlineLevel="0" collapsed="false">
      <c r="A44" s="5" t="s">
        <v>40</v>
      </c>
      <c r="B44" s="10" t="n">
        <v>0.21</v>
      </c>
      <c r="C44" s="7" t="s">
        <v>41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5"/>
  </cols>
  <sheetData>
    <row r="1" customFormat="false" ht="15" hidden="false" customHeight="false" outlineLevel="0" collapsed="false">
      <c r="A1" s="1" t="s">
        <v>42</v>
      </c>
      <c r="B1" s="1"/>
      <c r="C1" s="1"/>
    </row>
    <row r="2" customFormat="false" ht="15" hidden="false" customHeight="false" outlineLevel="0" collapsed="false">
      <c r="A2" s="13" t="s">
        <v>43</v>
      </c>
      <c r="B2" s="13"/>
      <c r="C2" s="13"/>
    </row>
    <row r="4" customFormat="false" ht="15" hidden="false" customHeight="false" outlineLevel="0" collapsed="false">
      <c r="A4" s="3" t="s">
        <v>44</v>
      </c>
      <c r="B4" s="4"/>
      <c r="C4" s="4"/>
    </row>
    <row r="5" customFormat="false" ht="15" hidden="false" customHeight="false" outlineLevel="0" collapsed="false">
      <c r="A5" s="5" t="s">
        <v>45</v>
      </c>
      <c r="B5" s="14" t="n">
        <f aca="false">Assumptions!$B$5</f>
        <v>99</v>
      </c>
    </row>
    <row r="6" customFormat="false" ht="15" hidden="false" customHeight="false" outlineLevel="0" collapsed="false">
      <c r="A6" s="5" t="s">
        <v>46</v>
      </c>
      <c r="B6" s="15" t="n">
        <f aca="false">1-Assumptions!$B$28-Assumptions!$B$30-(Assumptions!$B$27/Assumptions!$B$5)</f>
        <v>0.88979797979798</v>
      </c>
    </row>
    <row r="7" customFormat="false" ht="15" hidden="false" customHeight="false" outlineLevel="0" collapsed="false">
      <c r="A7" s="5" t="s">
        <v>47</v>
      </c>
      <c r="B7" s="16" t="n">
        <f aca="false">B5*B6</f>
        <v>88.09</v>
      </c>
    </row>
    <row r="8" customFormat="false" ht="15" hidden="false" customHeight="false" outlineLevel="0" collapsed="false">
      <c r="A8" s="5" t="s">
        <v>48</v>
      </c>
      <c r="B8" s="17" t="n">
        <f aca="false">Assumptions!$B$18</f>
        <v>0.05</v>
      </c>
    </row>
    <row r="9" customFormat="false" ht="15" hidden="false" customHeight="false" outlineLevel="0" collapsed="false">
      <c r="A9" s="5" t="s">
        <v>49</v>
      </c>
      <c r="B9" s="18" t="n">
        <f aca="false">1/B8</f>
        <v>20</v>
      </c>
    </row>
    <row r="10" customFormat="false" ht="15" hidden="false" customHeight="false" outlineLevel="0" collapsed="false">
      <c r="A10" s="5" t="s">
        <v>50</v>
      </c>
      <c r="B10" s="16" t="n">
        <f aca="false">B7*B9</f>
        <v>1761.8</v>
      </c>
    </row>
    <row r="11" customFormat="false" ht="15" hidden="false" customHeight="false" outlineLevel="0" collapsed="false">
      <c r="A11" s="5" t="s">
        <v>51</v>
      </c>
      <c r="B11" s="19" t="n">
        <v>250</v>
      </c>
    </row>
    <row r="12" customFormat="false" ht="15" hidden="false" customHeight="false" outlineLevel="0" collapsed="false">
      <c r="A12" s="5" t="s">
        <v>52</v>
      </c>
      <c r="B12" s="18" t="n">
        <f aca="false">B11/B7</f>
        <v>2.83800658417528</v>
      </c>
    </row>
    <row r="13" customFormat="false" ht="15" hidden="false" customHeight="false" outlineLevel="0" collapsed="false">
      <c r="A13" s="5" t="s">
        <v>53</v>
      </c>
      <c r="B13" s="20" t="n">
        <f aca="false">B10/B11</f>
        <v>7.0472</v>
      </c>
    </row>
    <row r="15" customFormat="false" ht="15" hidden="false" customHeight="false" outlineLevel="0" collapsed="false">
      <c r="A15" s="3" t="s">
        <v>54</v>
      </c>
      <c r="B15" s="4"/>
      <c r="C15" s="4"/>
    </row>
    <row r="16" customFormat="false" ht="15" hidden="false" customHeight="false" outlineLevel="0" collapsed="false">
      <c r="A16" s="5" t="s">
        <v>55</v>
      </c>
      <c r="B16" s="14" t="n">
        <f aca="false">Assumptions!$B$9</f>
        <v>36000</v>
      </c>
    </row>
    <row r="17" customFormat="false" ht="15" hidden="false" customHeight="false" outlineLevel="0" collapsed="false">
      <c r="A17" s="5" t="s">
        <v>56</v>
      </c>
      <c r="B17" s="21" t="n">
        <f aca="false">Assumptions!$B$10</f>
        <v>6</v>
      </c>
    </row>
    <row r="18" customFormat="false" ht="15" hidden="false" customHeight="false" outlineLevel="0" collapsed="false">
      <c r="A18" s="5" t="s">
        <v>57</v>
      </c>
      <c r="B18" s="17" t="n">
        <f aca="false">Assumptions!$B$29</f>
        <v>0.3</v>
      </c>
    </row>
    <row r="19" customFormat="false" ht="15" hidden="false" customHeight="false" outlineLevel="0" collapsed="false">
      <c r="A19" s="5" t="s">
        <v>58</v>
      </c>
      <c r="B19" s="15" t="n">
        <f aca="false">1-B18-Assumptions!$B$28</f>
        <v>0.67</v>
      </c>
    </row>
    <row r="20" customFormat="false" ht="15" hidden="false" customHeight="false" outlineLevel="0" collapsed="false">
      <c r="A20" s="5" t="s">
        <v>59</v>
      </c>
      <c r="B20" s="16" t="n">
        <f aca="false">B16*B19</f>
        <v>24120</v>
      </c>
    </row>
    <row r="21" customFormat="false" ht="15" hidden="false" customHeight="false" outlineLevel="0" collapsed="false">
      <c r="A21" s="5" t="s">
        <v>60</v>
      </c>
      <c r="B21" s="19" t="n">
        <v>2000</v>
      </c>
    </row>
    <row r="22" customFormat="false" ht="15" hidden="false" customHeight="false" outlineLevel="0" collapsed="false">
      <c r="A22" s="5" t="s">
        <v>61</v>
      </c>
      <c r="B22" s="20" t="n">
        <f aca="false">B20/B21</f>
        <v>12.06</v>
      </c>
    </row>
    <row r="23" customFormat="false" ht="15" hidden="false" customHeight="false" outlineLevel="0" collapsed="false">
      <c r="A23" s="5" t="s">
        <v>62</v>
      </c>
      <c r="B23" s="16" t="n">
        <f aca="false">B16/B17</f>
        <v>6000</v>
      </c>
    </row>
    <row r="25" customFormat="false" ht="15" hidden="false" customHeight="false" outlineLevel="0" collapsed="false">
      <c r="A25" s="22" t="s">
        <v>63</v>
      </c>
      <c r="B25" s="22"/>
      <c r="C25" s="22"/>
    </row>
  </sheetData>
  <mergeCells count="3">
    <mergeCell ref="A1:C1"/>
    <mergeCell ref="A2:C2"/>
    <mergeCell ref="A25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4" min="2" style="0" width="11"/>
  </cols>
  <sheetData>
    <row r="1" customFormat="false" ht="15" hidden="false" customHeight="false" outlineLevel="0" collapsed="false">
      <c r="A1" s="1" t="s">
        <v>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false" outlineLevel="0" collapsed="false">
      <c r="A3" s="23" t="s">
        <v>65</v>
      </c>
      <c r="B3" s="24" t="s">
        <v>66</v>
      </c>
      <c r="C3" s="24" t="s">
        <v>67</v>
      </c>
      <c r="D3" s="24" t="s">
        <v>68</v>
      </c>
      <c r="E3" s="24" t="s">
        <v>69</v>
      </c>
      <c r="F3" s="24" t="s">
        <v>70</v>
      </c>
      <c r="G3" s="24" t="s">
        <v>71</v>
      </c>
      <c r="H3" s="24" t="s">
        <v>72</v>
      </c>
      <c r="I3" s="24" t="s">
        <v>73</v>
      </c>
      <c r="J3" s="24" t="s">
        <v>74</v>
      </c>
      <c r="K3" s="24" t="s">
        <v>75</v>
      </c>
      <c r="L3" s="24" t="s">
        <v>76</v>
      </c>
      <c r="M3" s="24" t="s">
        <v>77</v>
      </c>
      <c r="N3" s="24" t="s">
        <v>78</v>
      </c>
    </row>
    <row r="5" customFormat="false" ht="15" hidden="false" customHeight="false" outlineLevel="0" collapsed="false">
      <c r="A5" s="3" t="s">
        <v>79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15" hidden="false" customHeight="false" outlineLevel="0" collapsed="false">
      <c r="A6" s="5" t="s">
        <v>80</v>
      </c>
      <c r="B6" s="25" t="n">
        <f aca="false">Assumptions!$B$15</f>
        <v>40</v>
      </c>
      <c r="C6" s="26" t="n">
        <f aca="false">B9</f>
        <v>53</v>
      </c>
      <c r="D6" s="26" t="n">
        <f aca="false">C9</f>
        <v>66.55</v>
      </c>
      <c r="E6" s="26" t="n">
        <f aca="false">D9</f>
        <v>80.7185</v>
      </c>
      <c r="F6" s="26" t="n">
        <f aca="false">E9</f>
        <v>95.578255</v>
      </c>
      <c r="G6" s="26" t="n">
        <f aca="false">F9</f>
        <v>111.20667665</v>
      </c>
      <c r="H6" s="26" t="n">
        <f aca="false">G9</f>
        <v>127.6862639695</v>
      </c>
      <c r="I6" s="26" t="n">
        <f aca="false">H9</f>
        <v>145.105065615185</v>
      </c>
      <c r="J6" s="26" t="n">
        <f aca="false">I9</f>
        <v>163.557176366119</v>
      </c>
      <c r="K6" s="26" t="n">
        <f aca="false">J9</f>
        <v>183.143270702041</v>
      </c>
      <c r="L6" s="26" t="n">
        <f aca="false">K9</f>
        <v>203.971176573505</v>
      </c>
      <c r="M6" s="26" t="n">
        <f aca="false">L9</f>
        <v>226.156492703922</v>
      </c>
    </row>
    <row r="7" customFormat="false" ht="15" hidden="false" customHeight="false" outlineLevel="0" collapsed="false">
      <c r="A7" s="5" t="s">
        <v>81</v>
      </c>
      <c r="B7" s="27" t="n">
        <f aca="false">Assumptions!$B$16</f>
        <v>15</v>
      </c>
      <c r="C7" s="28" t="n">
        <f aca="false">B7*(1+Assumptions!$B$17)</f>
        <v>16.2</v>
      </c>
      <c r="D7" s="28" t="n">
        <f aca="false">C7*(1+Assumptions!$B$17)</f>
        <v>17.496</v>
      </c>
      <c r="E7" s="28" t="n">
        <f aca="false">D7*(1+Assumptions!$B$17)</f>
        <v>18.89568</v>
      </c>
      <c r="F7" s="28" t="n">
        <f aca="false">E7*(1+Assumptions!$B$17)</f>
        <v>20.4073344</v>
      </c>
      <c r="G7" s="28" t="n">
        <f aca="false">F7*(1+Assumptions!$B$17)</f>
        <v>22.039921152</v>
      </c>
      <c r="H7" s="28" t="n">
        <f aca="false">G7*(1+Assumptions!$B$17)</f>
        <v>23.80311484416</v>
      </c>
      <c r="I7" s="28" t="n">
        <f aca="false">H7*(1+Assumptions!$B$17)</f>
        <v>25.7073640316928</v>
      </c>
      <c r="J7" s="28" t="n">
        <f aca="false">I7*(1+Assumptions!$B$17)</f>
        <v>27.7639531542282</v>
      </c>
      <c r="K7" s="28" t="n">
        <f aca="false">J7*(1+Assumptions!$B$17)</f>
        <v>29.9850694065665</v>
      </c>
      <c r="L7" s="28" t="n">
        <f aca="false">K7*(1+Assumptions!$B$17)</f>
        <v>32.3838749590918</v>
      </c>
      <c r="M7" s="28" t="n">
        <f aca="false">L7*(1+Assumptions!$B$17)</f>
        <v>34.9745849558192</v>
      </c>
    </row>
    <row r="8" customFormat="false" ht="15" hidden="false" customHeight="false" outlineLevel="0" collapsed="false">
      <c r="A8" s="5" t="s">
        <v>82</v>
      </c>
      <c r="B8" s="28" t="n">
        <f aca="false">B6*Assumptions!$B$18</f>
        <v>2</v>
      </c>
      <c r="C8" s="28" t="n">
        <f aca="false">C6*Assumptions!$B$18</f>
        <v>2.65</v>
      </c>
      <c r="D8" s="28" t="n">
        <f aca="false">D6*Assumptions!$B$18</f>
        <v>3.3275</v>
      </c>
      <c r="E8" s="28" t="n">
        <f aca="false">E6*Assumptions!$B$18</f>
        <v>4.035925</v>
      </c>
      <c r="F8" s="28" t="n">
        <f aca="false">F6*Assumptions!$B$18</f>
        <v>4.77891275</v>
      </c>
      <c r="G8" s="28" t="n">
        <f aca="false">G6*Assumptions!$B$18</f>
        <v>5.5603338325</v>
      </c>
      <c r="H8" s="28" t="n">
        <f aca="false">H6*Assumptions!$B$18</f>
        <v>6.384313198475</v>
      </c>
      <c r="I8" s="28" t="n">
        <f aca="false">I6*Assumptions!$B$18</f>
        <v>7.25525328075925</v>
      </c>
      <c r="J8" s="28" t="n">
        <f aca="false">J6*Assumptions!$B$18</f>
        <v>8.17785881830593</v>
      </c>
      <c r="K8" s="28" t="n">
        <f aca="false">K6*Assumptions!$B$18</f>
        <v>9.15716353510204</v>
      </c>
      <c r="L8" s="28" t="n">
        <f aca="false">L6*Assumptions!$B$18</f>
        <v>10.1985588286753</v>
      </c>
      <c r="M8" s="28" t="n">
        <f aca="false">M6*Assumptions!$B$18</f>
        <v>11.3078246351961</v>
      </c>
    </row>
    <row r="9" customFormat="false" ht="15" hidden="false" customHeight="false" outlineLevel="0" collapsed="false">
      <c r="A9" s="23" t="s">
        <v>83</v>
      </c>
      <c r="B9" s="29" t="n">
        <f aca="false">B6+B7-B8</f>
        <v>53</v>
      </c>
      <c r="C9" s="29" t="n">
        <f aca="false">C6+C7-C8</f>
        <v>66.55</v>
      </c>
      <c r="D9" s="29" t="n">
        <f aca="false">D6+D7-D8</f>
        <v>80.7185</v>
      </c>
      <c r="E9" s="29" t="n">
        <f aca="false">E6+E7-E8</f>
        <v>95.578255</v>
      </c>
      <c r="F9" s="29" t="n">
        <f aca="false">F6+F7-F8</f>
        <v>111.20667665</v>
      </c>
      <c r="G9" s="29" t="n">
        <f aca="false">G6+G7-G8</f>
        <v>127.6862639695</v>
      </c>
      <c r="H9" s="29" t="n">
        <f aca="false">H6+H7-H8</f>
        <v>145.105065615185</v>
      </c>
      <c r="I9" s="29" t="n">
        <f aca="false">I6+I7-I8</f>
        <v>163.557176366119</v>
      </c>
      <c r="J9" s="29" t="n">
        <f aca="false">J6+J7-J8</f>
        <v>183.143270702041</v>
      </c>
      <c r="K9" s="29" t="n">
        <f aca="false">K6+K7-K8</f>
        <v>203.971176573505</v>
      </c>
      <c r="L9" s="29" t="n">
        <f aca="false">L6+L7-L8</f>
        <v>226.156492703922</v>
      </c>
      <c r="M9" s="29" t="n">
        <f aca="false">M6+M7-M8</f>
        <v>249.823253024545</v>
      </c>
    </row>
    <row r="10" customFormat="false" ht="15" hidden="false" customHeight="false" outlineLevel="0" collapsed="false">
      <c r="A10" s="5" t="s">
        <v>84</v>
      </c>
      <c r="B10" s="27" t="n">
        <f aca="false">Assumptions!$B$19</f>
        <v>25</v>
      </c>
      <c r="C10" s="28" t="n">
        <f aca="false">B10*(1+Assumptions!$B$20)</f>
        <v>26.25</v>
      </c>
      <c r="D10" s="28" t="n">
        <f aca="false">C10*(1+Assumptions!$B$20)</f>
        <v>27.5625</v>
      </c>
      <c r="E10" s="28" t="n">
        <f aca="false">D10*(1+Assumptions!$B$20)</f>
        <v>28.940625</v>
      </c>
      <c r="F10" s="28" t="n">
        <f aca="false">E10*(1+Assumptions!$B$20)</f>
        <v>30.38765625</v>
      </c>
      <c r="G10" s="28" t="n">
        <f aca="false">F10*(1+Assumptions!$B$20)</f>
        <v>31.9070390625</v>
      </c>
      <c r="H10" s="28" t="n">
        <f aca="false">G10*(1+Assumptions!$B$20)</f>
        <v>33.502391015625</v>
      </c>
      <c r="I10" s="28" t="n">
        <f aca="false">H10*(1+Assumptions!$B$20)</f>
        <v>35.1775105664063</v>
      </c>
      <c r="J10" s="28" t="n">
        <f aca="false">I10*(1+Assumptions!$B$20)</f>
        <v>36.9363860947266</v>
      </c>
      <c r="K10" s="28" t="n">
        <f aca="false">J10*(1+Assumptions!$B$20)</f>
        <v>38.7832053994629</v>
      </c>
      <c r="L10" s="28" t="n">
        <f aca="false">K10*(1+Assumptions!$B$20)</f>
        <v>40.7223656694361</v>
      </c>
      <c r="M10" s="28" t="n">
        <f aca="false">L10*(1+Assumptions!$B$20)</f>
        <v>42.7584839529079</v>
      </c>
    </row>
    <row r="11" customFormat="false" ht="15" hidden="false" customHeight="false" outlineLevel="0" collapsed="false">
      <c r="A11" s="5" t="s">
        <v>85</v>
      </c>
      <c r="B11" s="27" t="n">
        <f aca="false">Assumptions!$B$21</f>
        <v>1</v>
      </c>
      <c r="C11" s="27" t="n">
        <f aca="false">Assumptions!$B$21</f>
        <v>1</v>
      </c>
      <c r="D11" s="27" t="n">
        <f aca="false">Assumptions!$B$21</f>
        <v>1</v>
      </c>
      <c r="E11" s="27" t="n">
        <f aca="false">Assumptions!$B$21</f>
        <v>1</v>
      </c>
      <c r="F11" s="27" t="n">
        <f aca="false">Assumptions!$B$21</f>
        <v>1</v>
      </c>
      <c r="G11" s="27" t="n">
        <f aca="false">Assumptions!$B$21</f>
        <v>1</v>
      </c>
      <c r="H11" s="27" t="n">
        <f aca="false">Assumptions!$B$21</f>
        <v>1</v>
      </c>
      <c r="I11" s="27" t="n">
        <f aca="false">Assumptions!$B$21</f>
        <v>1</v>
      </c>
      <c r="J11" s="27" t="n">
        <f aca="false">Assumptions!$B$21</f>
        <v>1</v>
      </c>
      <c r="K11" s="27" t="n">
        <f aca="false">Assumptions!$B$21</f>
        <v>1</v>
      </c>
      <c r="L11" s="27" t="n">
        <f aca="false">Assumptions!$B$21</f>
        <v>1</v>
      </c>
      <c r="M11" s="27" t="n">
        <f aca="false">Assumptions!$B$21</f>
        <v>1</v>
      </c>
    </row>
    <row r="12" customFormat="false" ht="15" hidden="false" customHeight="false" outlineLevel="0" collapsed="false">
      <c r="A12" s="5" t="s">
        <v>20</v>
      </c>
      <c r="B12" s="25" t="n">
        <f aca="false">Assumptions!$B$22</f>
        <v>3</v>
      </c>
      <c r="C12" s="25" t="n">
        <f aca="false">Assumptions!$B$22</f>
        <v>3</v>
      </c>
      <c r="D12" s="25" t="n">
        <f aca="false">Assumptions!$B$22</f>
        <v>3</v>
      </c>
      <c r="E12" s="25" t="n">
        <f aca="false">Assumptions!$B$22</f>
        <v>3</v>
      </c>
      <c r="F12" s="25" t="n">
        <f aca="false">Assumptions!$B$22</f>
        <v>3</v>
      </c>
      <c r="G12" s="25" t="n">
        <f aca="false">Assumptions!$B$22</f>
        <v>3</v>
      </c>
      <c r="H12" s="25" t="n">
        <f aca="false">Assumptions!$B$22</f>
        <v>3</v>
      </c>
      <c r="I12" s="25" t="n">
        <f aca="false">Assumptions!$B$22</f>
        <v>3</v>
      </c>
      <c r="J12" s="25" t="n">
        <f aca="false">Assumptions!$B$22</f>
        <v>3</v>
      </c>
      <c r="K12" s="25" t="n">
        <f aca="false">Assumptions!$B$22</f>
        <v>3</v>
      </c>
      <c r="L12" s="25" t="n">
        <f aca="false">Assumptions!$B$22</f>
        <v>3</v>
      </c>
      <c r="M12" s="25" t="n">
        <f aca="false">Assumptions!$B$22</f>
        <v>3</v>
      </c>
    </row>
    <row r="13" customFormat="false" ht="15" hidden="false" customHeight="false" outlineLevel="0" collapsed="false">
      <c r="A13" s="5" t="s">
        <v>86</v>
      </c>
      <c r="B13" s="30" t="n">
        <v>0</v>
      </c>
      <c r="C13" s="30" t="n">
        <v>1</v>
      </c>
      <c r="D13" s="30" t="n">
        <v>1</v>
      </c>
      <c r="E13" s="30" t="n">
        <v>1</v>
      </c>
      <c r="F13" s="30" t="n">
        <v>2</v>
      </c>
      <c r="G13" s="30" t="n">
        <v>2</v>
      </c>
      <c r="H13" s="30" t="n">
        <v>2</v>
      </c>
      <c r="I13" s="30" t="n">
        <v>2</v>
      </c>
      <c r="J13" s="30" t="n">
        <v>2</v>
      </c>
      <c r="K13" s="30" t="n">
        <v>2</v>
      </c>
      <c r="L13" s="30" t="n">
        <v>2</v>
      </c>
      <c r="M13" s="30" t="n">
        <v>2</v>
      </c>
    </row>
    <row r="14" customFormat="false" ht="15" hidden="false" customHeight="false" outlineLevel="0" collapsed="false">
      <c r="A14" s="5" t="s">
        <v>87</v>
      </c>
      <c r="B14" s="28" t="n">
        <f aca="false">SUM(B13:B13)</f>
        <v>0</v>
      </c>
      <c r="C14" s="28" t="n">
        <f aca="false">SUM(B13:C13)</f>
        <v>1</v>
      </c>
      <c r="D14" s="28" t="n">
        <f aca="false">SUM(B13:D13)</f>
        <v>2</v>
      </c>
      <c r="E14" s="28" t="n">
        <f aca="false">SUM(B13:E13)</f>
        <v>3</v>
      </c>
      <c r="F14" s="28" t="n">
        <f aca="false">SUM(B13:F13)</f>
        <v>5</v>
      </c>
      <c r="G14" s="28" t="n">
        <f aca="false">SUM(B13:G13)</f>
        <v>7</v>
      </c>
      <c r="H14" s="28" t="n">
        <f aca="false">SUM(C13:H13)</f>
        <v>9</v>
      </c>
      <c r="I14" s="28" t="n">
        <f aca="false">SUM(D13:I13)</f>
        <v>10</v>
      </c>
      <c r="J14" s="28" t="n">
        <f aca="false">SUM(E13:J13)</f>
        <v>11</v>
      </c>
      <c r="K14" s="28" t="n">
        <f aca="false">SUM(F13:K13)</f>
        <v>12</v>
      </c>
      <c r="L14" s="28" t="n">
        <f aca="false">SUM(G13:L13)</f>
        <v>12</v>
      </c>
      <c r="M14" s="28" t="n">
        <f aca="false">SUM(H13:M13)</f>
        <v>12</v>
      </c>
    </row>
    <row r="15" customFormat="false" ht="15" hidden="false" customHeight="false" outlineLevel="0" collapsed="false">
      <c r="A15" s="5" t="s">
        <v>88</v>
      </c>
      <c r="B15" s="30" t="n">
        <v>0</v>
      </c>
      <c r="C15" s="30" t="n">
        <v>0</v>
      </c>
      <c r="D15" s="30" t="n">
        <v>1</v>
      </c>
      <c r="E15" s="30" t="n">
        <v>0</v>
      </c>
      <c r="F15" s="30" t="n">
        <v>1</v>
      </c>
      <c r="G15" s="30" t="n">
        <v>0</v>
      </c>
      <c r="H15" s="30" t="n">
        <v>1</v>
      </c>
      <c r="I15" s="30" t="n">
        <v>0</v>
      </c>
      <c r="J15" s="30" t="n">
        <v>1</v>
      </c>
      <c r="K15" s="30" t="n">
        <v>0</v>
      </c>
      <c r="L15" s="30" t="n">
        <v>1</v>
      </c>
      <c r="M15" s="30" t="n">
        <v>1</v>
      </c>
    </row>
    <row r="16" customFormat="false" ht="15" hidden="false" customHeight="false" outlineLevel="0" collapsed="false">
      <c r="A16" s="5" t="s">
        <v>89</v>
      </c>
      <c r="B16" s="28" t="n">
        <f aca="false">SUM($B15:B15)</f>
        <v>0</v>
      </c>
      <c r="C16" s="28" t="n">
        <f aca="false">SUM($B15:C15)</f>
        <v>0</v>
      </c>
      <c r="D16" s="28" t="n">
        <f aca="false">SUM($B15:D15)</f>
        <v>1</v>
      </c>
      <c r="E16" s="28" t="n">
        <f aca="false">SUM($B15:E15)</f>
        <v>1</v>
      </c>
      <c r="F16" s="28" t="n">
        <f aca="false">SUM($B15:F15)</f>
        <v>2</v>
      </c>
      <c r="G16" s="28" t="n">
        <f aca="false">SUM($B15:G15)</f>
        <v>2</v>
      </c>
      <c r="H16" s="28" t="n">
        <f aca="false">SUM($B15:H15)</f>
        <v>3</v>
      </c>
      <c r="I16" s="28" t="n">
        <f aca="false">SUM($B15:I15)</f>
        <v>3</v>
      </c>
      <c r="J16" s="28" t="n">
        <f aca="false">SUM($B15:J15)</f>
        <v>4</v>
      </c>
      <c r="K16" s="28" t="n">
        <f aca="false">SUM($B15:K15)</f>
        <v>4</v>
      </c>
      <c r="L16" s="28" t="n">
        <f aca="false">SUM($B15:L15)</f>
        <v>5</v>
      </c>
      <c r="M16" s="28" t="n">
        <f aca="false">SUM($B15:M15)</f>
        <v>6</v>
      </c>
    </row>
    <row r="18" customFormat="false" ht="15" hidden="false" customHeight="false" outlineLevel="0" collapsed="false">
      <c r="A18" s="3" t="s">
        <v>90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customFormat="false" ht="15" hidden="false" customHeight="false" outlineLevel="0" collapsed="false">
      <c r="A19" s="5" t="s">
        <v>91</v>
      </c>
      <c r="B19" s="31" t="n">
        <f aca="false">(B6+B9)/2*Assumptions!$B$5</f>
        <v>4603.5</v>
      </c>
      <c r="C19" s="31" t="n">
        <f aca="false">(C6+C9)/2*Assumptions!$B$5</f>
        <v>5917.725</v>
      </c>
      <c r="D19" s="31" t="n">
        <f aca="false">(D6+D9)/2*Assumptions!$B$5</f>
        <v>7289.79075</v>
      </c>
      <c r="E19" s="31" t="n">
        <f aca="false">(E6+E9)/2*Assumptions!$B$5</f>
        <v>8726.6893725</v>
      </c>
      <c r="F19" s="31" t="n">
        <f aca="false">(F6+F9)/2*Assumptions!$B$5</f>
        <v>10235.854116675</v>
      </c>
      <c r="G19" s="31" t="n">
        <f aca="false">(G6+G9)/2*Assumptions!$B$5</f>
        <v>11825.2005606653</v>
      </c>
      <c r="H19" s="31" t="n">
        <f aca="false">(H6+H9)/2*Assumptions!$B$5</f>
        <v>13503.1708144419</v>
      </c>
      <c r="I19" s="31" t="n">
        <f aca="false">(I6+I9)/2*Assumptions!$B$5</f>
        <v>15278.7809780745</v>
      </c>
      <c r="J19" s="31" t="n">
        <f aca="false">(J6+J9)/2*Assumptions!$B$5</f>
        <v>17161.6721298739</v>
      </c>
      <c r="K19" s="31" t="n">
        <f aca="false">(K6+K9)/2*Assumptions!$B$5</f>
        <v>19162.1651401395</v>
      </c>
      <c r="L19" s="31" t="n">
        <f aca="false">(L6+L9)/2*Assumptions!$B$5</f>
        <v>21291.3196292326</v>
      </c>
      <c r="M19" s="31" t="n">
        <f aca="false">(M6+M9)/2*Assumptions!$B$5</f>
        <v>23560.9974135591</v>
      </c>
      <c r="N19" s="31" t="n">
        <f aca="false">SUM(B19:M19)</f>
        <v>158556.865905162</v>
      </c>
    </row>
    <row r="20" customFormat="false" ht="15" hidden="false" customHeight="false" outlineLevel="0" collapsed="false">
      <c r="A20" s="5" t="s">
        <v>4</v>
      </c>
      <c r="B20" s="31" t="n">
        <f aca="false">B10*Assumptions!$B$6</f>
        <v>4975</v>
      </c>
      <c r="C20" s="31" t="n">
        <f aca="false">C10*Assumptions!$B$6</f>
        <v>5223.75</v>
      </c>
      <c r="D20" s="31" t="n">
        <f aca="false">D10*Assumptions!$B$6</f>
        <v>5484.9375</v>
      </c>
      <c r="E20" s="31" t="n">
        <f aca="false">E10*Assumptions!$B$6</f>
        <v>5759.184375</v>
      </c>
      <c r="F20" s="31" t="n">
        <f aca="false">F10*Assumptions!$B$6</f>
        <v>6047.14359375</v>
      </c>
      <c r="G20" s="31" t="n">
        <f aca="false">G10*Assumptions!$B$6</f>
        <v>6349.5007734375</v>
      </c>
      <c r="H20" s="31" t="n">
        <f aca="false">H10*Assumptions!$B$6</f>
        <v>6666.97581210938</v>
      </c>
      <c r="I20" s="31" t="n">
        <f aca="false">I10*Assumptions!$B$6</f>
        <v>7000.32460271485</v>
      </c>
      <c r="J20" s="31" t="n">
        <f aca="false">J10*Assumptions!$B$6</f>
        <v>7350.34083285059</v>
      </c>
      <c r="K20" s="31" t="n">
        <f aca="false">K10*Assumptions!$B$6</f>
        <v>7717.85787449312</v>
      </c>
      <c r="L20" s="31" t="n">
        <f aca="false">L10*Assumptions!$B$6</f>
        <v>8103.75076821777</v>
      </c>
      <c r="M20" s="31" t="n">
        <f aca="false">M10*Assumptions!$B$6</f>
        <v>8508.93830662867</v>
      </c>
      <c r="N20" s="31" t="n">
        <f aca="false">SUM(B20:M20)</f>
        <v>79187.7044392019</v>
      </c>
    </row>
    <row r="21" customFormat="false" ht="15" hidden="false" customHeight="false" outlineLevel="0" collapsed="false">
      <c r="A21" s="5" t="s">
        <v>92</v>
      </c>
      <c r="B21" s="31" t="n">
        <f aca="false">B11*Assumptions!$B$7</f>
        <v>4997</v>
      </c>
      <c r="C21" s="31" t="n">
        <f aca="false">C11*Assumptions!$B$7</f>
        <v>4997</v>
      </c>
      <c r="D21" s="31" t="n">
        <f aca="false">D11*Assumptions!$B$7</f>
        <v>4997</v>
      </c>
      <c r="E21" s="31" t="n">
        <f aca="false">E11*Assumptions!$B$7</f>
        <v>4997</v>
      </c>
      <c r="F21" s="31" t="n">
        <f aca="false">F11*Assumptions!$B$7</f>
        <v>4997</v>
      </c>
      <c r="G21" s="31" t="n">
        <f aca="false">G11*Assumptions!$B$7</f>
        <v>4997</v>
      </c>
      <c r="H21" s="31" t="n">
        <f aca="false">H11*Assumptions!$B$7</f>
        <v>4997</v>
      </c>
      <c r="I21" s="31" t="n">
        <f aca="false">I11*Assumptions!$B$7</f>
        <v>4997</v>
      </c>
      <c r="J21" s="31" t="n">
        <f aca="false">J11*Assumptions!$B$7</f>
        <v>4997</v>
      </c>
      <c r="K21" s="31" t="n">
        <f aca="false">K11*Assumptions!$B$7</f>
        <v>4997</v>
      </c>
      <c r="L21" s="31" t="n">
        <f aca="false">L11*Assumptions!$B$7</f>
        <v>4997</v>
      </c>
      <c r="M21" s="31" t="n">
        <f aca="false">M11*Assumptions!$B$7</f>
        <v>4997</v>
      </c>
      <c r="N21" s="31" t="n">
        <f aca="false">SUM(B21:M21)</f>
        <v>59964</v>
      </c>
    </row>
    <row r="22" customFormat="false" ht="15" hidden="false" customHeight="false" outlineLevel="0" collapsed="false">
      <c r="A22" s="5" t="s">
        <v>93</v>
      </c>
      <c r="B22" s="31" t="n">
        <f aca="false">B12*Assumptions!$B$8</f>
        <v>5250</v>
      </c>
      <c r="C22" s="31" t="n">
        <f aca="false">C12*Assumptions!$B$8</f>
        <v>5250</v>
      </c>
      <c r="D22" s="31" t="n">
        <f aca="false">D12*Assumptions!$B$8</f>
        <v>5250</v>
      </c>
      <c r="E22" s="31" t="n">
        <f aca="false">E12*Assumptions!$B$8</f>
        <v>5250</v>
      </c>
      <c r="F22" s="31" t="n">
        <f aca="false">F12*Assumptions!$B$8</f>
        <v>5250</v>
      </c>
      <c r="G22" s="31" t="n">
        <f aca="false">G12*Assumptions!$B$8</f>
        <v>5250</v>
      </c>
      <c r="H22" s="31" t="n">
        <f aca="false">H12*Assumptions!$B$8</f>
        <v>5250</v>
      </c>
      <c r="I22" s="31" t="n">
        <f aca="false">I12*Assumptions!$B$8</f>
        <v>5250</v>
      </c>
      <c r="J22" s="31" t="n">
        <f aca="false">J12*Assumptions!$B$8</f>
        <v>5250</v>
      </c>
      <c r="K22" s="31" t="n">
        <f aca="false">K12*Assumptions!$B$8</f>
        <v>5250</v>
      </c>
      <c r="L22" s="31" t="n">
        <f aca="false">L12*Assumptions!$B$8</f>
        <v>5250</v>
      </c>
      <c r="M22" s="31" t="n">
        <f aca="false">M12*Assumptions!$B$8</f>
        <v>5250</v>
      </c>
      <c r="N22" s="31" t="n">
        <f aca="false">SUM(B22:M22)</f>
        <v>63000</v>
      </c>
    </row>
    <row r="23" customFormat="false" ht="15" hidden="false" customHeight="false" outlineLevel="0" collapsed="false">
      <c r="A23" s="5" t="s">
        <v>94</v>
      </c>
      <c r="B23" s="31" t="n">
        <f aca="false">B14*Assumptions!$B$9/Assumptions!$B$10</f>
        <v>0</v>
      </c>
      <c r="C23" s="31" t="n">
        <f aca="false">C14*Assumptions!$B$9/Assumptions!$B$10</f>
        <v>6000</v>
      </c>
      <c r="D23" s="31" t="n">
        <f aca="false">D14*Assumptions!$B$9/Assumptions!$B$10</f>
        <v>12000</v>
      </c>
      <c r="E23" s="31" t="n">
        <f aca="false">E14*Assumptions!$B$9/Assumptions!$B$10</f>
        <v>18000</v>
      </c>
      <c r="F23" s="31" t="n">
        <f aca="false">F14*Assumptions!$B$9/Assumptions!$B$10</f>
        <v>30000</v>
      </c>
      <c r="G23" s="31" t="n">
        <f aca="false">G14*Assumptions!$B$9/Assumptions!$B$10</f>
        <v>42000</v>
      </c>
      <c r="H23" s="31" t="n">
        <f aca="false">H14*Assumptions!$B$9/Assumptions!$B$10</f>
        <v>54000</v>
      </c>
      <c r="I23" s="31" t="n">
        <f aca="false">I14*Assumptions!$B$9/Assumptions!$B$10</f>
        <v>60000</v>
      </c>
      <c r="J23" s="31" t="n">
        <f aca="false">J14*Assumptions!$B$9/Assumptions!$B$10</f>
        <v>66000</v>
      </c>
      <c r="K23" s="31" t="n">
        <f aca="false">K14*Assumptions!$B$9/Assumptions!$B$10</f>
        <v>72000</v>
      </c>
      <c r="L23" s="31" t="n">
        <f aca="false">L14*Assumptions!$B$9/Assumptions!$B$10</f>
        <v>72000</v>
      </c>
      <c r="M23" s="31" t="n">
        <f aca="false">M14*Assumptions!$B$9/Assumptions!$B$10</f>
        <v>72000</v>
      </c>
      <c r="N23" s="31" t="n">
        <f aca="false">SUM(B23:M23)</f>
        <v>504000</v>
      </c>
    </row>
    <row r="24" customFormat="false" ht="15" hidden="false" customHeight="false" outlineLevel="0" collapsed="false">
      <c r="A24" s="5" t="s">
        <v>95</v>
      </c>
      <c r="B24" s="31" t="n">
        <f aca="false">B15*Assumptions!$B$11</f>
        <v>0</v>
      </c>
      <c r="C24" s="31" t="n">
        <f aca="false">C15*Assumptions!$B$11</f>
        <v>0</v>
      </c>
      <c r="D24" s="31" t="n">
        <f aca="false">D15*Assumptions!$B$11</f>
        <v>15000</v>
      </c>
      <c r="E24" s="31" t="n">
        <f aca="false">E15*Assumptions!$B$11</f>
        <v>0</v>
      </c>
      <c r="F24" s="31" t="n">
        <f aca="false">F15*Assumptions!$B$11</f>
        <v>15000</v>
      </c>
      <c r="G24" s="31" t="n">
        <f aca="false">G15*Assumptions!$B$11</f>
        <v>0</v>
      </c>
      <c r="H24" s="31" t="n">
        <f aca="false">H15*Assumptions!$B$11</f>
        <v>15000</v>
      </c>
      <c r="I24" s="31" t="n">
        <f aca="false">I15*Assumptions!$B$11</f>
        <v>0</v>
      </c>
      <c r="J24" s="31" t="n">
        <f aca="false">J15*Assumptions!$B$11</f>
        <v>15000</v>
      </c>
      <c r="K24" s="31" t="n">
        <f aca="false">K15*Assumptions!$B$11</f>
        <v>0</v>
      </c>
      <c r="L24" s="31" t="n">
        <f aca="false">L15*Assumptions!$B$11</f>
        <v>15000</v>
      </c>
      <c r="M24" s="31" t="n">
        <f aca="false">M15*Assumptions!$B$11</f>
        <v>15000</v>
      </c>
      <c r="N24" s="31" t="n">
        <f aca="false">SUM(B24:M24)</f>
        <v>90000</v>
      </c>
    </row>
    <row r="25" customFormat="false" ht="15" hidden="false" customHeight="false" outlineLevel="0" collapsed="false">
      <c r="A25" s="5" t="s">
        <v>96</v>
      </c>
      <c r="B25" s="31" t="n">
        <f aca="false">B16*Assumptions!$B$12</f>
        <v>0</v>
      </c>
      <c r="C25" s="31" t="n">
        <f aca="false">C16*Assumptions!$B$12</f>
        <v>0</v>
      </c>
      <c r="D25" s="31" t="n">
        <f aca="false">D16*Assumptions!$B$12</f>
        <v>1500</v>
      </c>
      <c r="E25" s="31" t="n">
        <f aca="false">E16*Assumptions!$B$12</f>
        <v>1500</v>
      </c>
      <c r="F25" s="31" t="n">
        <f aca="false">F16*Assumptions!$B$12</f>
        <v>3000</v>
      </c>
      <c r="G25" s="31" t="n">
        <f aca="false">G16*Assumptions!$B$12</f>
        <v>3000</v>
      </c>
      <c r="H25" s="31" t="n">
        <f aca="false">H16*Assumptions!$B$12</f>
        <v>4500</v>
      </c>
      <c r="I25" s="31" t="n">
        <f aca="false">I16*Assumptions!$B$12</f>
        <v>4500</v>
      </c>
      <c r="J25" s="31" t="n">
        <f aca="false">J16*Assumptions!$B$12</f>
        <v>6000</v>
      </c>
      <c r="K25" s="31" t="n">
        <f aca="false">K16*Assumptions!$B$12</f>
        <v>6000</v>
      </c>
      <c r="L25" s="31" t="n">
        <f aca="false">L16*Assumptions!$B$12</f>
        <v>7500</v>
      </c>
      <c r="M25" s="31" t="n">
        <f aca="false">M16*Assumptions!$B$12</f>
        <v>9000</v>
      </c>
      <c r="N25" s="31" t="n">
        <f aca="false">SUM(B25:M25)</f>
        <v>46500</v>
      </c>
    </row>
    <row r="26" customFormat="false" ht="15" hidden="false" customHeight="false" outlineLevel="0" collapsed="false">
      <c r="A26" s="23" t="s">
        <v>97</v>
      </c>
      <c r="B26" s="32" t="n">
        <f aca="false">SUM(B19:B25)</f>
        <v>19825.5</v>
      </c>
      <c r="C26" s="32" t="n">
        <f aca="false">SUM(C19:C25)</f>
        <v>27388.475</v>
      </c>
      <c r="D26" s="32" t="n">
        <f aca="false">SUM(D19:D25)</f>
        <v>51521.72825</v>
      </c>
      <c r="E26" s="32" t="n">
        <f aca="false">SUM(E19:E25)</f>
        <v>44232.8737475</v>
      </c>
      <c r="F26" s="32" t="n">
        <f aca="false">SUM(F19:F25)</f>
        <v>74529.997710425</v>
      </c>
      <c r="G26" s="32" t="n">
        <f aca="false">SUM(G19:G25)</f>
        <v>73421.7013341028</v>
      </c>
      <c r="H26" s="32" t="n">
        <f aca="false">SUM(H19:H25)</f>
        <v>103917.146626551</v>
      </c>
      <c r="I26" s="32" t="n">
        <f aca="false">SUM(I19:I25)</f>
        <v>97026.1055807894</v>
      </c>
      <c r="J26" s="32" t="n">
        <f aca="false">SUM(J19:J25)</f>
        <v>121759.012962724</v>
      </c>
      <c r="K26" s="32" t="n">
        <f aca="false">SUM(K19:K25)</f>
        <v>115127.023014633</v>
      </c>
      <c r="L26" s="32" t="n">
        <f aca="false">SUM(L19:L25)</f>
        <v>134142.07039745</v>
      </c>
      <c r="M26" s="32" t="n">
        <f aca="false">SUM(M19:M25)</f>
        <v>138316.935720188</v>
      </c>
      <c r="N26" s="32" t="n">
        <f aca="false">SUM(B26:M26)</f>
        <v>1001208.57034436</v>
      </c>
    </row>
    <row r="28" customFormat="false" ht="15" hidden="false" customHeight="false" outlineLevel="0" collapsed="false">
      <c r="A28" s="3" t="s">
        <v>98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customFormat="false" ht="15" hidden="false" customHeight="false" outlineLevel="0" collapsed="false">
      <c r="A29" s="5" t="s">
        <v>99</v>
      </c>
      <c r="B29" s="31" t="n">
        <f aca="false">Assumptions!$B$25</f>
        <v>1500</v>
      </c>
      <c r="C29" s="31" t="n">
        <f aca="false">Assumptions!$B$25</f>
        <v>1500</v>
      </c>
      <c r="D29" s="31" t="n">
        <f aca="false">Assumptions!$B$25</f>
        <v>1500</v>
      </c>
      <c r="E29" s="31" t="n">
        <f aca="false">Assumptions!$B$25</f>
        <v>1500</v>
      </c>
      <c r="F29" s="31" t="n">
        <f aca="false">Assumptions!$B$25</f>
        <v>1500</v>
      </c>
      <c r="G29" s="31" t="n">
        <f aca="false">Assumptions!$B$25</f>
        <v>1500</v>
      </c>
      <c r="H29" s="31" t="n">
        <f aca="false">Assumptions!$B$25</f>
        <v>1500</v>
      </c>
      <c r="I29" s="31" t="n">
        <f aca="false">Assumptions!$B$25</f>
        <v>1500</v>
      </c>
      <c r="J29" s="31" t="n">
        <f aca="false">Assumptions!$B$25</f>
        <v>1500</v>
      </c>
      <c r="K29" s="31" t="n">
        <f aca="false">Assumptions!$B$25</f>
        <v>1500</v>
      </c>
      <c r="L29" s="31" t="n">
        <f aca="false">Assumptions!$B$25</f>
        <v>1500</v>
      </c>
      <c r="M29" s="31" t="n">
        <f aca="false">Assumptions!$B$25</f>
        <v>1500</v>
      </c>
      <c r="N29" s="31" t="n">
        <f aca="false">SUM(B29:M29)</f>
        <v>18000</v>
      </c>
    </row>
    <row r="30" customFormat="false" ht="15" hidden="false" customHeight="false" outlineLevel="0" collapsed="false">
      <c r="A30" s="5" t="s">
        <v>100</v>
      </c>
      <c r="B30" s="31" t="n">
        <f aca="false">Assumptions!$B$26+B9*Assumptions!$B$27</f>
        <v>506</v>
      </c>
      <c r="C30" s="31" t="n">
        <f aca="false">Assumptions!$B$26+C9*Assumptions!$B$27</f>
        <v>533.1</v>
      </c>
      <c r="D30" s="31" t="n">
        <f aca="false">Assumptions!$B$26+D9*Assumptions!$B$27</f>
        <v>561.437</v>
      </c>
      <c r="E30" s="31" t="n">
        <f aca="false">Assumptions!$B$26+E9*Assumptions!$B$27</f>
        <v>591.15651</v>
      </c>
      <c r="F30" s="31" t="n">
        <f aca="false">Assumptions!$B$26+F9*Assumptions!$B$27</f>
        <v>622.4133533</v>
      </c>
      <c r="G30" s="31" t="n">
        <f aca="false">Assumptions!$B$26+G9*Assumptions!$B$27</f>
        <v>655.372527939</v>
      </c>
      <c r="H30" s="31" t="n">
        <f aca="false">Assumptions!$B$26+H9*Assumptions!$B$27</f>
        <v>690.21013123037</v>
      </c>
      <c r="I30" s="31" t="n">
        <f aca="false">Assumptions!$B$26+I9*Assumptions!$B$27</f>
        <v>727.114352732237</v>
      </c>
      <c r="J30" s="31" t="n">
        <f aca="false">Assumptions!$B$26+J9*Assumptions!$B$27</f>
        <v>766.286541404082</v>
      </c>
      <c r="K30" s="31" t="n">
        <f aca="false">Assumptions!$B$26+K9*Assumptions!$B$27</f>
        <v>807.942353147011</v>
      </c>
      <c r="L30" s="31" t="n">
        <f aca="false">Assumptions!$B$26+L9*Assumptions!$B$27</f>
        <v>852.312985407844</v>
      </c>
      <c r="M30" s="31" t="n">
        <f aca="false">Assumptions!$B$26+M9*Assumptions!$B$27</f>
        <v>899.64650604909</v>
      </c>
      <c r="N30" s="31" t="n">
        <f aca="false">SUM(B30:M30)</f>
        <v>8212.99226120963</v>
      </c>
    </row>
    <row r="31" customFormat="false" ht="15" hidden="false" customHeight="false" outlineLevel="0" collapsed="false">
      <c r="A31" s="5" t="s">
        <v>101</v>
      </c>
      <c r="B31" s="31" t="n">
        <f aca="false">B26*Assumptions!$B$28</f>
        <v>594.765</v>
      </c>
      <c r="C31" s="31" t="n">
        <f aca="false">C26*Assumptions!$B$28</f>
        <v>821.65425</v>
      </c>
      <c r="D31" s="31" t="n">
        <f aca="false">D26*Assumptions!$B$28</f>
        <v>1545.6518475</v>
      </c>
      <c r="E31" s="31" t="n">
        <f aca="false">E26*Assumptions!$B$28</f>
        <v>1326.986212425</v>
      </c>
      <c r="F31" s="31" t="n">
        <f aca="false">F26*Assumptions!$B$28</f>
        <v>2235.89993131275</v>
      </c>
      <c r="G31" s="31" t="n">
        <f aca="false">G26*Assumptions!$B$28</f>
        <v>2202.65104002308</v>
      </c>
      <c r="H31" s="31" t="n">
        <f aca="false">H26*Assumptions!$B$28</f>
        <v>3117.51439879654</v>
      </c>
      <c r="I31" s="31" t="n">
        <f aca="false">I26*Assumptions!$B$28</f>
        <v>2910.78316742368</v>
      </c>
      <c r="J31" s="31" t="n">
        <f aca="false">J26*Assumptions!$B$28</f>
        <v>3652.77038888173</v>
      </c>
      <c r="K31" s="31" t="n">
        <f aca="false">K26*Assumptions!$B$28</f>
        <v>3453.81069043898</v>
      </c>
      <c r="L31" s="31" t="n">
        <f aca="false">L26*Assumptions!$B$28</f>
        <v>4024.26211192351</v>
      </c>
      <c r="M31" s="31" t="n">
        <f aca="false">M26*Assumptions!$B$28</f>
        <v>4149.50807160563</v>
      </c>
      <c r="N31" s="31" t="n">
        <f aca="false">SUM(B31:M31)</f>
        <v>30036.2571103309</v>
      </c>
    </row>
    <row r="32" customFormat="false" ht="15" hidden="false" customHeight="false" outlineLevel="0" collapsed="false">
      <c r="A32" s="5" t="s">
        <v>102</v>
      </c>
      <c r="B32" s="31" t="n">
        <f aca="false">(B21+B22+B23+B24+B25)*Assumptions!$B$29</f>
        <v>3074.1</v>
      </c>
      <c r="C32" s="31" t="n">
        <f aca="false">(C21+C22+C23+C24+C25)*Assumptions!$B$29</f>
        <v>4874.1</v>
      </c>
      <c r="D32" s="31" t="n">
        <f aca="false">(D21+D22+D23+D24+D25)*Assumptions!$B$29</f>
        <v>11624.1</v>
      </c>
      <c r="E32" s="31" t="n">
        <f aca="false">(E21+E22+E23+E24+E25)*Assumptions!$B$29</f>
        <v>8924.1</v>
      </c>
      <c r="F32" s="31" t="n">
        <f aca="false">(F21+F22+F23+F24+F25)*Assumptions!$B$29</f>
        <v>17474.1</v>
      </c>
      <c r="G32" s="31" t="n">
        <f aca="false">(G21+G22+G23+G24+G25)*Assumptions!$B$29</f>
        <v>16574.1</v>
      </c>
      <c r="H32" s="31" t="n">
        <f aca="false">(H21+H22+H23+H24+H25)*Assumptions!$B$29</f>
        <v>25124.1</v>
      </c>
      <c r="I32" s="31" t="n">
        <f aca="false">(I21+I22+I23+I24+I25)*Assumptions!$B$29</f>
        <v>22424.1</v>
      </c>
      <c r="J32" s="31" t="n">
        <f aca="false">(J21+J22+J23+J24+J25)*Assumptions!$B$29</f>
        <v>29174.1</v>
      </c>
      <c r="K32" s="31" t="n">
        <f aca="false">(K21+K22+K23+K24+K25)*Assumptions!$B$29</f>
        <v>26474.1</v>
      </c>
      <c r="L32" s="31" t="n">
        <f aca="false">(L21+L22+L23+L24+L25)*Assumptions!$B$29</f>
        <v>31424.1</v>
      </c>
      <c r="M32" s="31" t="n">
        <f aca="false">(M21+M22+M23+M24+M25)*Assumptions!$B$29</f>
        <v>31874.1</v>
      </c>
      <c r="N32" s="31" t="n">
        <f aca="false">SUM(B32:M32)</f>
        <v>229039.2</v>
      </c>
    </row>
    <row r="33" customFormat="false" ht="15" hidden="false" customHeight="false" outlineLevel="0" collapsed="false">
      <c r="A33" s="5" t="s">
        <v>103</v>
      </c>
      <c r="B33" s="31" t="n">
        <f aca="false">(B19+B20+B21+B23)*Assumptions!$B$30</f>
        <v>874.53</v>
      </c>
      <c r="C33" s="31" t="n">
        <f aca="false">(C19+C20+C21+C23)*Assumptions!$B$30</f>
        <v>1328.3085</v>
      </c>
      <c r="D33" s="31" t="n">
        <f aca="false">(D19+D20+D21+D23)*Assumptions!$B$30</f>
        <v>1786.303695</v>
      </c>
      <c r="E33" s="31" t="n">
        <f aca="false">(E19+E20+E21+E23)*Assumptions!$B$30</f>
        <v>2248.97242485</v>
      </c>
      <c r="F33" s="31" t="n">
        <f aca="false">(F19+F20+F21+F23)*Assumptions!$B$30</f>
        <v>3076.7998626255</v>
      </c>
      <c r="G33" s="31" t="n">
        <f aca="false">(G19+G20+G21+G23)*Assumptions!$B$30</f>
        <v>3910.30208004617</v>
      </c>
      <c r="H33" s="31" t="n">
        <f aca="false">(H19+H20+H21+H23)*Assumptions!$B$30</f>
        <v>4750.02879759308</v>
      </c>
      <c r="I33" s="31" t="n">
        <f aca="false">(I19+I20+I21+I23)*Assumptions!$B$30</f>
        <v>5236.56633484736</v>
      </c>
      <c r="J33" s="31" t="n">
        <f aca="false">(J19+J20+J21+J23)*Assumptions!$B$30</f>
        <v>5730.54077776347</v>
      </c>
      <c r="K33" s="31" t="n">
        <f aca="false">(K19+K20+K21+K23)*Assumptions!$B$30</f>
        <v>6232.62138087796</v>
      </c>
      <c r="L33" s="31" t="n">
        <f aca="false">(L19+L20+L21+L23)*Assumptions!$B$30</f>
        <v>6383.52422384703</v>
      </c>
      <c r="M33" s="31" t="n">
        <f aca="false">(M19+M20+M21+M23)*Assumptions!$B$30</f>
        <v>6544.01614321127</v>
      </c>
      <c r="N33" s="31" t="n">
        <f aca="false">SUM(B33:M33)</f>
        <v>48102.5142206618</v>
      </c>
    </row>
    <row r="34" customFormat="false" ht="15" hidden="false" customHeight="false" outlineLevel="0" collapsed="false">
      <c r="A34" s="23" t="s">
        <v>104</v>
      </c>
      <c r="B34" s="32" t="n">
        <f aca="false">SUM(B29:B33)</f>
        <v>6549.395</v>
      </c>
      <c r="C34" s="32" t="n">
        <f aca="false">SUM(C29:C33)</f>
        <v>9057.16275</v>
      </c>
      <c r="D34" s="32" t="n">
        <f aca="false">SUM(D29:D33)</f>
        <v>17017.4925425</v>
      </c>
      <c r="E34" s="32" t="n">
        <f aca="false">SUM(E29:E33)</f>
        <v>14591.215147275</v>
      </c>
      <c r="F34" s="32" t="n">
        <f aca="false">SUM(F29:F33)</f>
        <v>24909.2131472382</v>
      </c>
      <c r="G34" s="32" t="n">
        <f aca="false">SUM(G29:G33)</f>
        <v>24842.4256480082</v>
      </c>
      <c r="H34" s="32" t="n">
        <f aca="false">SUM(H29:H33)</f>
        <v>35181.85332762</v>
      </c>
      <c r="I34" s="32" t="n">
        <f aca="false">SUM(I29:I33)</f>
        <v>32798.5638550033</v>
      </c>
      <c r="J34" s="32" t="n">
        <f aca="false">SUM(J29:J33)</f>
        <v>40823.6977080493</v>
      </c>
      <c r="K34" s="32" t="n">
        <f aca="false">SUM(K29:K33)</f>
        <v>38468.4744244639</v>
      </c>
      <c r="L34" s="32" t="n">
        <f aca="false">SUM(L29:L33)</f>
        <v>44184.1993211784</v>
      </c>
      <c r="M34" s="32" t="n">
        <f aca="false">SUM(M29:M33)</f>
        <v>44967.270720866</v>
      </c>
      <c r="N34" s="32" t="n">
        <f aca="false">SUM(B34:M34)</f>
        <v>333390.963592202</v>
      </c>
    </row>
    <row r="35" customFormat="false" ht="15" hidden="false" customHeight="false" outlineLevel="0" collapsed="false">
      <c r="A35" s="23" t="s">
        <v>105</v>
      </c>
      <c r="B35" s="32" t="n">
        <f aca="false">B26-B34</f>
        <v>13276.105</v>
      </c>
      <c r="C35" s="32" t="n">
        <f aca="false">C26-C34</f>
        <v>18331.31225</v>
      </c>
      <c r="D35" s="32" t="n">
        <f aca="false">D26-D34</f>
        <v>34504.2357075</v>
      </c>
      <c r="E35" s="32" t="n">
        <f aca="false">E26-E34</f>
        <v>29641.658600225</v>
      </c>
      <c r="F35" s="32" t="n">
        <f aca="false">F26-F34</f>
        <v>49620.7845631868</v>
      </c>
      <c r="G35" s="32" t="n">
        <f aca="false">G26-G34</f>
        <v>48579.2756860945</v>
      </c>
      <c r="H35" s="32" t="n">
        <f aca="false">H26-H34</f>
        <v>68735.2932989313</v>
      </c>
      <c r="I35" s="32" t="n">
        <f aca="false">I26-I34</f>
        <v>64227.5417257861</v>
      </c>
      <c r="J35" s="32" t="n">
        <f aca="false">J26-J34</f>
        <v>80935.3152546752</v>
      </c>
      <c r="K35" s="32" t="n">
        <f aca="false">K26-K34</f>
        <v>76658.5485901687</v>
      </c>
      <c r="L35" s="32" t="n">
        <f aca="false">L26-L34</f>
        <v>89957.871076272</v>
      </c>
      <c r="M35" s="32" t="n">
        <f aca="false">M26-M34</f>
        <v>93349.6649993218</v>
      </c>
      <c r="N35" s="32" t="n">
        <f aca="false">N26-N34</f>
        <v>667817.606752161</v>
      </c>
    </row>
    <row r="36" customFormat="false" ht="15" hidden="false" customHeight="false" outlineLevel="0" collapsed="false">
      <c r="A36" s="5" t="s">
        <v>58</v>
      </c>
      <c r="B36" s="33" t="n">
        <f aca="false">IF(B26=0,0,B35/B26)</f>
        <v>0.669647928173312</v>
      </c>
      <c r="C36" s="33" t="n">
        <f aca="false">IF(C26=0,0,C35/C26)</f>
        <v>0.669307518947295</v>
      </c>
      <c r="D36" s="33" t="n">
        <f aca="false">IF(D26=0,0,D35/D26)</f>
        <v>0.669702606637618</v>
      </c>
      <c r="E36" s="33" t="n">
        <f aca="false">IF(E26=0,0,E35/E26)</f>
        <v>0.670127353005191</v>
      </c>
      <c r="F36" s="33" t="n">
        <f aca="false">IF(F26=0,0,F35/F26)</f>
        <v>0.665782719543086</v>
      </c>
      <c r="G36" s="33" t="n">
        <f aca="false">IF(G26=0,0,G35/G26)</f>
        <v>0.6616473713274</v>
      </c>
      <c r="H36" s="33" t="n">
        <f aca="false">IF(H26=0,0,H35/H26)</f>
        <v>0.661443231750256</v>
      </c>
      <c r="I36" s="33" t="n">
        <f aca="false">IF(I26=0,0,I35/I26)</f>
        <v>0.66196145193426</v>
      </c>
      <c r="J36" s="33" t="n">
        <f aca="false">IF(J26=0,0,J35/J26)</f>
        <v>0.664717241749101</v>
      </c>
      <c r="K36" s="33" t="n">
        <f aca="false">IF(K26=0,0,K35/K26)</f>
        <v>0.665860599734481</v>
      </c>
      <c r="L36" s="33" t="n">
        <f aca="false">IF(L26=0,0,L35/L26)</f>
        <v>0.670616390590478</v>
      </c>
      <c r="M36" s="33" t="n">
        <f aca="false">IF(M26=0,0,M35/M26)</f>
        <v>0.674896855640051</v>
      </c>
      <c r="N36" s="33" t="n">
        <f aca="false">IF(N26=0,0,N35/N26)</f>
        <v>0.667011476462359</v>
      </c>
    </row>
    <row r="38" customFormat="false" ht="15" hidden="false" customHeight="false" outlineLevel="0" collapsed="false">
      <c r="A38" s="3" t="s">
        <v>106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customFormat="false" ht="15" hidden="false" customHeight="false" outlineLevel="0" collapsed="false">
      <c r="A39" s="5" t="s">
        <v>29</v>
      </c>
      <c r="B39" s="31" t="n">
        <f aca="false">Assumptions!$B$33</f>
        <v>6000</v>
      </c>
      <c r="C39" s="31" t="n">
        <f aca="false">Assumptions!$B$33</f>
        <v>6000</v>
      </c>
      <c r="D39" s="31" t="n">
        <f aca="false">Assumptions!$B$33</f>
        <v>6000</v>
      </c>
      <c r="E39" s="31" t="n">
        <f aca="false">Assumptions!$B$33</f>
        <v>6000</v>
      </c>
      <c r="F39" s="31" t="n">
        <f aca="false">Assumptions!$B$33</f>
        <v>6000</v>
      </c>
      <c r="G39" s="31" t="n">
        <f aca="false">Assumptions!$B$33</f>
        <v>6000</v>
      </c>
      <c r="H39" s="31" t="n">
        <f aca="false">Assumptions!$B$33</f>
        <v>6000</v>
      </c>
      <c r="I39" s="31" t="n">
        <f aca="false">Assumptions!$B$33</f>
        <v>6000</v>
      </c>
      <c r="J39" s="31" t="n">
        <f aca="false">Assumptions!$B$33</f>
        <v>6000</v>
      </c>
      <c r="K39" s="31" t="n">
        <f aca="false">Assumptions!$B$33</f>
        <v>6000</v>
      </c>
      <c r="L39" s="31" t="n">
        <f aca="false">Assumptions!$B$33</f>
        <v>6000</v>
      </c>
      <c r="M39" s="31" t="n">
        <f aca="false">Assumptions!$B$33</f>
        <v>6000</v>
      </c>
      <c r="N39" s="31" t="n">
        <f aca="false">SUM(B39:M39)</f>
        <v>72000</v>
      </c>
    </row>
    <row r="40" customFormat="false" ht="15" hidden="false" customHeight="false" outlineLevel="0" collapsed="false">
      <c r="A40" s="5" t="s">
        <v>30</v>
      </c>
      <c r="B40" s="31" t="n">
        <f aca="false">Assumptions!$B$34</f>
        <v>3000</v>
      </c>
      <c r="C40" s="31" t="n">
        <f aca="false">Assumptions!$B$34</f>
        <v>3000</v>
      </c>
      <c r="D40" s="31" t="n">
        <f aca="false">Assumptions!$B$34</f>
        <v>3000</v>
      </c>
      <c r="E40" s="31" t="n">
        <f aca="false">Assumptions!$B$34</f>
        <v>3000</v>
      </c>
      <c r="F40" s="31" t="n">
        <f aca="false">Assumptions!$B$34</f>
        <v>3000</v>
      </c>
      <c r="G40" s="31" t="n">
        <f aca="false">Assumptions!$B$34</f>
        <v>3000</v>
      </c>
      <c r="H40" s="31" t="n">
        <f aca="false">Assumptions!$B$34</f>
        <v>3000</v>
      </c>
      <c r="I40" s="31" t="n">
        <f aca="false">Assumptions!$B$34</f>
        <v>3000</v>
      </c>
      <c r="J40" s="31" t="n">
        <f aca="false">Assumptions!$B$34</f>
        <v>3000</v>
      </c>
      <c r="K40" s="31" t="n">
        <f aca="false">Assumptions!$B$34</f>
        <v>3000</v>
      </c>
      <c r="L40" s="31" t="n">
        <f aca="false">Assumptions!$B$34</f>
        <v>3000</v>
      </c>
      <c r="M40" s="31" t="n">
        <f aca="false">Assumptions!$B$34</f>
        <v>3000</v>
      </c>
      <c r="N40" s="31" t="n">
        <f aca="false">SUM(B40:M40)</f>
        <v>36000</v>
      </c>
    </row>
    <row r="41" customFormat="false" ht="15" hidden="false" customHeight="false" outlineLevel="0" collapsed="false">
      <c r="A41" s="5" t="s">
        <v>31</v>
      </c>
      <c r="B41" s="31" t="n">
        <f aca="false">Assumptions!$B$35</f>
        <v>1200</v>
      </c>
      <c r="C41" s="31" t="n">
        <f aca="false">Assumptions!$B$35</f>
        <v>1200</v>
      </c>
      <c r="D41" s="31" t="n">
        <f aca="false">Assumptions!$B$35</f>
        <v>1200</v>
      </c>
      <c r="E41" s="31" t="n">
        <f aca="false">Assumptions!$B$35</f>
        <v>1200</v>
      </c>
      <c r="F41" s="31" t="n">
        <f aca="false">Assumptions!$B$35</f>
        <v>1200</v>
      </c>
      <c r="G41" s="31" t="n">
        <f aca="false">Assumptions!$B$35</f>
        <v>1200</v>
      </c>
      <c r="H41" s="31" t="n">
        <f aca="false">Assumptions!$B$35</f>
        <v>1200</v>
      </c>
      <c r="I41" s="31" t="n">
        <f aca="false">Assumptions!$B$35</f>
        <v>1200</v>
      </c>
      <c r="J41" s="31" t="n">
        <f aca="false">Assumptions!$B$35</f>
        <v>1200</v>
      </c>
      <c r="K41" s="31" t="n">
        <f aca="false">Assumptions!$B$35</f>
        <v>1200</v>
      </c>
      <c r="L41" s="31" t="n">
        <f aca="false">Assumptions!$B$35</f>
        <v>1200</v>
      </c>
      <c r="M41" s="31" t="n">
        <f aca="false">Assumptions!$B$35</f>
        <v>1200</v>
      </c>
      <c r="N41" s="31" t="n">
        <f aca="false">SUM(B41:M41)</f>
        <v>14400</v>
      </c>
    </row>
    <row r="42" customFormat="false" ht="15" hidden="false" customHeight="false" outlineLevel="0" collapsed="false">
      <c r="A42" s="5" t="s">
        <v>107</v>
      </c>
      <c r="B42" s="31" t="n">
        <f aca="false">Assumptions!$B$36</f>
        <v>0</v>
      </c>
      <c r="C42" s="31" t="n">
        <f aca="false">Assumptions!$B$36</f>
        <v>0</v>
      </c>
      <c r="D42" s="31" t="n">
        <f aca="false">Assumptions!$B$36</f>
        <v>0</v>
      </c>
      <c r="E42" s="31" t="n">
        <f aca="false">Assumptions!$B$36</f>
        <v>0</v>
      </c>
      <c r="F42" s="31" t="n">
        <f aca="false">Assumptions!$B$36</f>
        <v>0</v>
      </c>
      <c r="G42" s="31" t="n">
        <f aca="false">Assumptions!$B$36</f>
        <v>0</v>
      </c>
      <c r="H42" s="31" t="n">
        <f aca="false">Assumptions!$B$36</f>
        <v>0</v>
      </c>
      <c r="I42" s="31" t="n">
        <f aca="false">Assumptions!$B$36</f>
        <v>0</v>
      </c>
      <c r="J42" s="31" t="n">
        <f aca="false">Assumptions!$B$36</f>
        <v>0</v>
      </c>
      <c r="K42" s="31" t="n">
        <f aca="false">Assumptions!$B$36</f>
        <v>0</v>
      </c>
      <c r="L42" s="31" t="n">
        <f aca="false">Assumptions!$B$36</f>
        <v>0</v>
      </c>
      <c r="M42" s="31" t="n">
        <f aca="false">Assumptions!$B$36</f>
        <v>0</v>
      </c>
      <c r="N42" s="31" t="n">
        <f aca="false">SUM(B42:M42)</f>
        <v>0</v>
      </c>
    </row>
    <row r="43" customFormat="false" ht="15" hidden="false" customHeight="false" outlineLevel="0" collapsed="false">
      <c r="A43" s="5" t="s">
        <v>108</v>
      </c>
      <c r="B43" s="31" t="n">
        <f aca="false">Assumptions!$B$37</f>
        <v>1500</v>
      </c>
      <c r="C43" s="31" t="n">
        <f aca="false">Assumptions!$B$37</f>
        <v>1500</v>
      </c>
      <c r="D43" s="31" t="n">
        <f aca="false">Assumptions!$B$37</f>
        <v>1500</v>
      </c>
      <c r="E43" s="31" t="n">
        <f aca="false">Assumptions!$B$37</f>
        <v>1500</v>
      </c>
      <c r="F43" s="31" t="n">
        <f aca="false">Assumptions!$B$37</f>
        <v>1500</v>
      </c>
      <c r="G43" s="31" t="n">
        <f aca="false">Assumptions!$B$37</f>
        <v>1500</v>
      </c>
      <c r="H43" s="31" t="n">
        <f aca="false">Assumptions!$B$37</f>
        <v>1500</v>
      </c>
      <c r="I43" s="31" t="n">
        <f aca="false">Assumptions!$B$37</f>
        <v>1500</v>
      </c>
      <c r="J43" s="31" t="n">
        <f aca="false">Assumptions!$B$37</f>
        <v>1500</v>
      </c>
      <c r="K43" s="31" t="n">
        <f aca="false">Assumptions!$B$37</f>
        <v>1500</v>
      </c>
      <c r="L43" s="31" t="n">
        <f aca="false">Assumptions!$B$37</f>
        <v>1500</v>
      </c>
      <c r="M43" s="31" t="n">
        <f aca="false">Assumptions!$B$37</f>
        <v>1500</v>
      </c>
      <c r="N43" s="31" t="n">
        <f aca="false">SUM(B43:M43)</f>
        <v>18000</v>
      </c>
    </row>
    <row r="44" customFormat="false" ht="15" hidden="false" customHeight="false" outlineLevel="0" collapsed="false">
      <c r="A44" s="5" t="s">
        <v>35</v>
      </c>
      <c r="B44" s="31" t="n">
        <f aca="false">Assumptions!$B$38</f>
        <v>150</v>
      </c>
      <c r="C44" s="31" t="n">
        <f aca="false">Assumptions!$B$38</f>
        <v>150</v>
      </c>
      <c r="D44" s="31" t="n">
        <f aca="false">Assumptions!$B$38</f>
        <v>150</v>
      </c>
      <c r="E44" s="31" t="n">
        <f aca="false">Assumptions!$B$38</f>
        <v>150</v>
      </c>
      <c r="F44" s="31" t="n">
        <f aca="false">Assumptions!$B$38</f>
        <v>150</v>
      </c>
      <c r="G44" s="31" t="n">
        <f aca="false">Assumptions!$B$38</f>
        <v>150</v>
      </c>
      <c r="H44" s="31" t="n">
        <f aca="false">Assumptions!$B$38</f>
        <v>150</v>
      </c>
      <c r="I44" s="31" t="n">
        <f aca="false">Assumptions!$B$38</f>
        <v>150</v>
      </c>
      <c r="J44" s="31" t="n">
        <f aca="false">Assumptions!$B$38</f>
        <v>150</v>
      </c>
      <c r="K44" s="31" t="n">
        <f aca="false">Assumptions!$B$38</f>
        <v>150</v>
      </c>
      <c r="L44" s="31" t="n">
        <f aca="false">Assumptions!$B$38</f>
        <v>150</v>
      </c>
      <c r="M44" s="31" t="n">
        <f aca="false">Assumptions!$B$38</f>
        <v>150</v>
      </c>
      <c r="N44" s="31" t="n">
        <f aca="false">SUM(B44:M44)</f>
        <v>1800</v>
      </c>
    </row>
    <row r="45" customFormat="false" ht="15" hidden="false" customHeight="false" outlineLevel="0" collapsed="false">
      <c r="A45" s="5" t="s">
        <v>36</v>
      </c>
      <c r="B45" s="31" t="n">
        <f aca="false">Assumptions!$B$39</f>
        <v>300</v>
      </c>
      <c r="C45" s="31" t="n">
        <f aca="false">Assumptions!$B$39</f>
        <v>300</v>
      </c>
      <c r="D45" s="31" t="n">
        <f aca="false">Assumptions!$B$39</f>
        <v>300</v>
      </c>
      <c r="E45" s="31" t="n">
        <f aca="false">Assumptions!$B$39</f>
        <v>300</v>
      </c>
      <c r="F45" s="31" t="n">
        <f aca="false">Assumptions!$B$39</f>
        <v>300</v>
      </c>
      <c r="G45" s="31" t="n">
        <f aca="false">Assumptions!$B$39</f>
        <v>300</v>
      </c>
      <c r="H45" s="31" t="n">
        <f aca="false">Assumptions!$B$39</f>
        <v>300</v>
      </c>
      <c r="I45" s="31" t="n">
        <f aca="false">Assumptions!$B$39</f>
        <v>300</v>
      </c>
      <c r="J45" s="31" t="n">
        <f aca="false">Assumptions!$B$39</f>
        <v>300</v>
      </c>
      <c r="K45" s="31" t="n">
        <f aca="false">Assumptions!$B$39</f>
        <v>300</v>
      </c>
      <c r="L45" s="31" t="n">
        <f aca="false">Assumptions!$B$39</f>
        <v>300</v>
      </c>
      <c r="M45" s="31" t="n">
        <f aca="false">Assumptions!$B$39</f>
        <v>300</v>
      </c>
      <c r="N45" s="31" t="n">
        <f aca="false">SUM(B45:M45)</f>
        <v>3600</v>
      </c>
    </row>
    <row r="46" customFormat="false" ht="15" hidden="false" customHeight="false" outlineLevel="0" collapsed="false">
      <c r="A46" s="5" t="s">
        <v>37</v>
      </c>
      <c r="B46" s="31" t="n">
        <f aca="false">Assumptions!$B$40</f>
        <v>500</v>
      </c>
      <c r="C46" s="31" t="n">
        <f aca="false">Assumptions!$B$40</f>
        <v>500</v>
      </c>
      <c r="D46" s="31" t="n">
        <f aca="false">Assumptions!$B$40</f>
        <v>500</v>
      </c>
      <c r="E46" s="31" t="n">
        <f aca="false">Assumptions!$B$40</f>
        <v>500</v>
      </c>
      <c r="F46" s="31" t="n">
        <f aca="false">Assumptions!$B$40</f>
        <v>500</v>
      </c>
      <c r="G46" s="31" t="n">
        <f aca="false">Assumptions!$B$40</f>
        <v>500</v>
      </c>
      <c r="H46" s="31" t="n">
        <f aca="false">Assumptions!$B$40</f>
        <v>500</v>
      </c>
      <c r="I46" s="31" t="n">
        <f aca="false">Assumptions!$B$40</f>
        <v>500</v>
      </c>
      <c r="J46" s="31" t="n">
        <f aca="false">Assumptions!$B$40</f>
        <v>500</v>
      </c>
      <c r="K46" s="31" t="n">
        <f aca="false">Assumptions!$B$40</f>
        <v>500</v>
      </c>
      <c r="L46" s="31" t="n">
        <f aca="false">Assumptions!$B$40</f>
        <v>500</v>
      </c>
      <c r="M46" s="31" t="n">
        <f aca="false">Assumptions!$B$40</f>
        <v>500</v>
      </c>
      <c r="N46" s="31" t="n">
        <f aca="false">SUM(B46:M46)</f>
        <v>6000</v>
      </c>
    </row>
    <row r="47" customFormat="false" ht="15" hidden="false" customHeight="false" outlineLevel="0" collapsed="false">
      <c r="A47" s="23" t="s">
        <v>109</v>
      </c>
      <c r="B47" s="32" t="n">
        <f aca="false">SUM(B39:B46)</f>
        <v>12650</v>
      </c>
      <c r="C47" s="32" t="n">
        <f aca="false">SUM(C39:C46)</f>
        <v>12650</v>
      </c>
      <c r="D47" s="32" t="n">
        <f aca="false">SUM(D39:D46)</f>
        <v>12650</v>
      </c>
      <c r="E47" s="32" t="n">
        <f aca="false">SUM(E39:E46)</f>
        <v>12650</v>
      </c>
      <c r="F47" s="32" t="n">
        <f aca="false">SUM(F39:F46)</f>
        <v>12650</v>
      </c>
      <c r="G47" s="32" t="n">
        <f aca="false">SUM(G39:G46)</f>
        <v>12650</v>
      </c>
      <c r="H47" s="32" t="n">
        <f aca="false">SUM(H39:H46)</f>
        <v>12650</v>
      </c>
      <c r="I47" s="32" t="n">
        <f aca="false">SUM(I39:I46)</f>
        <v>12650</v>
      </c>
      <c r="J47" s="32" t="n">
        <f aca="false">SUM(J39:J46)</f>
        <v>12650</v>
      </c>
      <c r="K47" s="32" t="n">
        <f aca="false">SUM(K39:K46)</f>
        <v>12650</v>
      </c>
      <c r="L47" s="32" t="n">
        <f aca="false">SUM(L39:L46)</f>
        <v>12650</v>
      </c>
      <c r="M47" s="32" t="n">
        <f aca="false">SUM(M39:M46)</f>
        <v>12650</v>
      </c>
      <c r="N47" s="32" t="n">
        <f aca="false">SUM(B47:M47)</f>
        <v>151800</v>
      </c>
    </row>
    <row r="48" customFormat="false" ht="15" hidden="false" customHeight="false" outlineLevel="0" collapsed="false">
      <c r="A48" s="23" t="s">
        <v>110</v>
      </c>
      <c r="B48" s="32" t="n">
        <f aca="false">B35-B47</f>
        <v>626.105</v>
      </c>
      <c r="C48" s="32" t="n">
        <f aca="false">C35-C47</f>
        <v>5681.31225</v>
      </c>
      <c r="D48" s="32" t="n">
        <f aca="false">D35-D47</f>
        <v>21854.2357075</v>
      </c>
      <c r="E48" s="32" t="n">
        <f aca="false">E35-E47</f>
        <v>16991.658600225</v>
      </c>
      <c r="F48" s="32" t="n">
        <f aca="false">F35-F47</f>
        <v>36970.7845631868</v>
      </c>
      <c r="G48" s="32" t="n">
        <f aca="false">G35-G47</f>
        <v>35929.2756860945</v>
      </c>
      <c r="H48" s="32" t="n">
        <f aca="false">H35-H47</f>
        <v>56085.2932989313</v>
      </c>
      <c r="I48" s="32" t="n">
        <f aca="false">I35-I47</f>
        <v>51577.5417257861</v>
      </c>
      <c r="J48" s="32" t="n">
        <f aca="false">J35-J47</f>
        <v>68285.3152546752</v>
      </c>
      <c r="K48" s="32" t="n">
        <f aca="false">K35-K47</f>
        <v>64008.5485901687</v>
      </c>
      <c r="L48" s="32" t="n">
        <f aca="false">L35-L47</f>
        <v>77307.871076272</v>
      </c>
      <c r="M48" s="32" t="n">
        <f aca="false">M35-M47</f>
        <v>80699.6649993218</v>
      </c>
      <c r="N48" s="32" t="n">
        <f aca="false">N35-N47</f>
        <v>516017.606752161</v>
      </c>
    </row>
    <row r="49" customFormat="false" ht="15" hidden="false" customHeight="false" outlineLevel="0" collapsed="false">
      <c r="A49" s="5" t="s">
        <v>111</v>
      </c>
      <c r="B49" s="33" t="n">
        <f aca="false">IF(B26=0,0,B48/B26)</f>
        <v>0.0315807924138105</v>
      </c>
      <c r="C49" s="33" t="n">
        <f aca="false">IF(C26=0,0,C48/C26)</f>
        <v>0.207434413562639</v>
      </c>
      <c r="D49" s="33" t="n">
        <f aca="false">IF(D26=0,0,D48/D26)</f>
        <v>0.424175128626435</v>
      </c>
      <c r="E49" s="33" t="n">
        <f aca="false">IF(E26=0,0,E48/E26)</f>
        <v>0.384140960345932</v>
      </c>
      <c r="F49" s="33" t="n">
        <f aca="false">IF(F26=0,0,F48/F26)</f>
        <v>0.496052404386635</v>
      </c>
      <c r="G49" s="33" t="n">
        <f aca="false">IF(G26=0,0,G48/G26)</f>
        <v>0.489354986785169</v>
      </c>
      <c r="H49" s="33" t="n">
        <f aca="false">IF(H26=0,0,H48/H26)</f>
        <v>0.539711636814721</v>
      </c>
      <c r="I49" s="33" t="n">
        <f aca="false">IF(I26=0,0,I48/I26)</f>
        <v>0.53158416919908</v>
      </c>
      <c r="J49" s="33" t="n">
        <f aca="false">IF(J26=0,0,J48/J26)</f>
        <v>0.560823495469532</v>
      </c>
      <c r="K49" s="33" t="n">
        <f aca="false">IF(K26=0,0,K48/K26)</f>
        <v>0.555981965954537</v>
      </c>
      <c r="L49" s="33" t="n">
        <f aca="false">IF(L26=0,0,L48/L26)</f>
        <v>0.576313388090821</v>
      </c>
      <c r="M49" s="33" t="n">
        <f aca="false">IF(M26=0,0,M48/M26)</f>
        <v>0.583440231517097</v>
      </c>
      <c r="N49" s="33" t="n">
        <f aca="false">IF(N26=0,0,N48/N26)</f>
        <v>0.515394715982783</v>
      </c>
    </row>
    <row r="50" customFormat="false" ht="15" hidden="false" customHeight="false" outlineLevel="0" collapsed="false">
      <c r="A50" s="34" t="s">
        <v>112</v>
      </c>
      <c r="B50" s="35" t="n">
        <f aca="false">IF(B48&gt;0,B48*Assumptions!$B$44,0)</f>
        <v>131.48205</v>
      </c>
      <c r="C50" s="35" t="n">
        <f aca="false">IF(C48&gt;0,C48*Assumptions!$B$44,0)</f>
        <v>1193.0755725</v>
      </c>
      <c r="D50" s="35" t="n">
        <f aca="false">IF(D48&gt;0,D48*Assumptions!$B$44,0)</f>
        <v>4589.389498575</v>
      </c>
      <c r="E50" s="35" t="n">
        <f aca="false">IF(E48&gt;0,E48*Assumptions!$B$44,0)</f>
        <v>3568.24830604725</v>
      </c>
      <c r="F50" s="35" t="n">
        <f aca="false">IF(F48&gt;0,F48*Assumptions!$B$44,0)</f>
        <v>7763.86475826922</v>
      </c>
      <c r="G50" s="35" t="n">
        <f aca="false">IF(G48&gt;0,G48*Assumptions!$B$44,0)</f>
        <v>7545.14789407985</v>
      </c>
      <c r="H50" s="35" t="n">
        <f aca="false">IF(H48&gt;0,H48*Assumptions!$B$44,0)</f>
        <v>11777.9115927756</v>
      </c>
      <c r="I50" s="35" t="n">
        <f aca="false">IF(I48&gt;0,I48*Assumptions!$B$44,0)</f>
        <v>10831.2837624151</v>
      </c>
      <c r="J50" s="35" t="n">
        <f aca="false">IF(J48&gt;0,J48*Assumptions!$B$44,0)</f>
        <v>14339.9162034818</v>
      </c>
      <c r="K50" s="35" t="n">
        <f aca="false">IF(K48&gt;0,K48*Assumptions!$B$44,0)</f>
        <v>13441.7952039354</v>
      </c>
      <c r="L50" s="35" t="n">
        <f aca="false">IF(L48&gt;0,L48*Assumptions!$B$44,0)</f>
        <v>16234.6529260171</v>
      </c>
      <c r="M50" s="35" t="n">
        <f aca="false">IF(M48&gt;0,M48*Assumptions!$B$44,0)</f>
        <v>16946.9296498576</v>
      </c>
      <c r="N50" s="35" t="n">
        <f aca="false">IF(N48&gt;0,N48*Assumptions!$B$44,0)</f>
        <v>108363.697417954</v>
      </c>
    </row>
    <row r="52" customFormat="false" ht="15" hidden="false" customHeight="false" outlineLevel="0" collapsed="false">
      <c r="A52" s="22" t="s">
        <v>113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</row>
  </sheetData>
  <mergeCells count="2">
    <mergeCell ref="A1:N1"/>
    <mergeCell ref="A52:N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14" min="2" style="0" width="10"/>
  </cols>
  <sheetData>
    <row r="1" customFormat="false" ht="15" hidden="false" customHeight="false" outlineLevel="0" collapsed="false">
      <c r="A1" s="1" t="s">
        <v>114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13" t="s">
        <v>115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customFormat="false" ht="15" hidden="false" customHeight="false" outlineLevel="0" collapsed="false">
      <c r="A3" s="23"/>
      <c r="B3" s="24" t="s">
        <v>116</v>
      </c>
      <c r="C3" s="24" t="s">
        <v>117</v>
      </c>
      <c r="D3" s="24" t="s">
        <v>118</v>
      </c>
      <c r="E3" s="24" t="s">
        <v>119</v>
      </c>
      <c r="F3" s="24" t="s">
        <v>120</v>
      </c>
      <c r="G3" s="24" t="s">
        <v>121</v>
      </c>
      <c r="H3" s="24" t="s">
        <v>122</v>
      </c>
      <c r="I3" s="24" t="s">
        <v>123</v>
      </c>
      <c r="J3" s="24" t="s">
        <v>124</v>
      </c>
      <c r="K3" s="24" t="s">
        <v>125</v>
      </c>
      <c r="L3" s="24" t="s">
        <v>126</v>
      </c>
      <c r="M3" s="24" t="s">
        <v>127</v>
      </c>
      <c r="N3" s="24" t="s">
        <v>128</v>
      </c>
    </row>
    <row r="4" customFormat="false" ht="15" hidden="false" customHeight="false" outlineLevel="0" collapsed="false">
      <c r="A4" s="23" t="s">
        <v>129</v>
      </c>
      <c r="B4" s="36" t="n">
        <f aca="false">Assumptions!$B$43</f>
        <v>120000</v>
      </c>
      <c r="C4" s="31" t="n">
        <f aca="false">B20</f>
        <v>121658.225262036</v>
      </c>
      <c r="D4" s="31" t="n">
        <f aca="false">C20</f>
        <v>159316.450524072</v>
      </c>
      <c r="E4" s="31" t="n">
        <f aca="false">D20</f>
        <v>160974.675786108</v>
      </c>
      <c r="F4" s="31" t="n">
        <f aca="false">E20</f>
        <v>162632.901048144</v>
      </c>
      <c r="G4" s="31" t="n">
        <f aca="false">F20</f>
        <v>164291.12631018</v>
      </c>
      <c r="H4" s="31" t="n">
        <f aca="false">G20</f>
        <v>165949.351572215</v>
      </c>
      <c r="I4" s="31" t="n">
        <f aca="false">H20</f>
        <v>203607.576834251</v>
      </c>
      <c r="J4" s="31" t="n">
        <f aca="false">I20</f>
        <v>205265.802096287</v>
      </c>
      <c r="K4" s="31" t="n">
        <f aca="false">J20</f>
        <v>206924.027358323</v>
      </c>
      <c r="L4" s="31" t="n">
        <f aca="false">K20</f>
        <v>208582.252620359</v>
      </c>
      <c r="M4" s="31" t="n">
        <f aca="false">L20</f>
        <v>210240.477882395</v>
      </c>
      <c r="N4" s="31" t="n">
        <f aca="false">M20</f>
        <v>247898.703144431</v>
      </c>
    </row>
    <row r="5" customFormat="false" ht="15" hidden="false" customHeight="false" outlineLevel="0" collapsed="false">
      <c r="A5" s="3" t="s">
        <v>130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15" hidden="false" customHeight="false" outlineLevel="0" collapsed="false">
      <c r="A6" s="5" t="s">
        <v>131</v>
      </c>
      <c r="B6" s="31" t="n">
        <f aca="false">PnL!$B$19/4.33</f>
        <v>1063.16397228637</v>
      </c>
      <c r="C6" s="31" t="n">
        <f aca="false">PnL!$B$19/4.33</f>
        <v>1063.16397228637</v>
      </c>
      <c r="D6" s="31" t="n">
        <f aca="false">PnL!$B$19/4.33</f>
        <v>1063.16397228637</v>
      </c>
      <c r="E6" s="31" t="n">
        <f aca="false">PnL!$B$19/4.33</f>
        <v>1063.16397228637</v>
      </c>
      <c r="F6" s="31" t="n">
        <f aca="false">PnL!$B$19/4.33</f>
        <v>1063.16397228637</v>
      </c>
      <c r="G6" s="31" t="n">
        <f aca="false">PnL!$B$19/4.33</f>
        <v>1063.16397228637</v>
      </c>
      <c r="H6" s="31" t="n">
        <f aca="false">PnL!$B$19/4.33</f>
        <v>1063.16397228637</v>
      </c>
      <c r="I6" s="31" t="n">
        <f aca="false">PnL!$B$19/4.33</f>
        <v>1063.16397228637</v>
      </c>
      <c r="J6" s="31" t="n">
        <f aca="false">PnL!$B$19/4.33</f>
        <v>1063.16397228637</v>
      </c>
      <c r="K6" s="31" t="n">
        <f aca="false">PnL!$B$19/4.33</f>
        <v>1063.16397228637</v>
      </c>
      <c r="L6" s="31" t="n">
        <f aca="false">PnL!$B$19/4.33</f>
        <v>1063.16397228637</v>
      </c>
      <c r="M6" s="31" t="n">
        <f aca="false">PnL!$B$19/4.33</f>
        <v>1063.16397228637</v>
      </c>
      <c r="N6" s="31" t="n">
        <f aca="false">PnL!$B$19/4.33</f>
        <v>1063.16397228637</v>
      </c>
    </row>
    <row r="7" customFormat="false" ht="15" hidden="false" customHeight="false" outlineLevel="0" collapsed="false">
      <c r="A7" s="5" t="s">
        <v>132</v>
      </c>
      <c r="B7" s="31" t="n">
        <f aca="false">(PnL!$B$20+PnL!$B$21)/4.33</f>
        <v>2303.00230946882</v>
      </c>
      <c r="C7" s="31" t="n">
        <f aca="false">(PnL!$B$20+PnL!$B$21)/4.33</f>
        <v>2303.00230946882</v>
      </c>
      <c r="D7" s="31" t="n">
        <f aca="false">(PnL!$B$20+PnL!$B$21)/4.33</f>
        <v>2303.00230946882</v>
      </c>
      <c r="E7" s="31" t="n">
        <f aca="false">(PnL!$B$20+PnL!$B$21)/4.33</f>
        <v>2303.00230946882</v>
      </c>
      <c r="F7" s="31" t="n">
        <f aca="false">(PnL!$B$20+PnL!$B$21)/4.33</f>
        <v>2303.00230946882</v>
      </c>
      <c r="G7" s="31" t="n">
        <f aca="false">(PnL!$B$20+PnL!$B$21)/4.33</f>
        <v>2303.00230946882</v>
      </c>
      <c r="H7" s="31" t="n">
        <f aca="false">(PnL!$B$20+PnL!$B$21)/4.33</f>
        <v>2303.00230946882</v>
      </c>
      <c r="I7" s="31" t="n">
        <f aca="false">(PnL!$B$20+PnL!$B$21)/4.33</f>
        <v>2303.00230946882</v>
      </c>
      <c r="J7" s="31" t="n">
        <f aca="false">(PnL!$B$20+PnL!$B$21)/4.33</f>
        <v>2303.00230946882</v>
      </c>
      <c r="K7" s="31" t="n">
        <f aca="false">(PnL!$B$20+PnL!$B$21)/4.33</f>
        <v>2303.00230946882</v>
      </c>
      <c r="L7" s="31" t="n">
        <f aca="false">(PnL!$B$20+PnL!$B$21)/4.33</f>
        <v>2303.00230946882</v>
      </c>
      <c r="M7" s="31" t="n">
        <f aca="false">(PnL!$B$20+PnL!$B$21)/4.33</f>
        <v>2303.00230946882</v>
      </c>
      <c r="N7" s="31" t="n">
        <f aca="false">(PnL!$B$20+PnL!$B$21)/4.33</f>
        <v>2303.00230946882</v>
      </c>
    </row>
    <row r="8" customFormat="false" ht="15" hidden="false" customHeight="false" outlineLevel="0" collapsed="false">
      <c r="A8" s="5" t="s">
        <v>133</v>
      </c>
      <c r="B8" s="31" t="n">
        <f aca="false">PnL!$B$22/4.33</f>
        <v>1212.47113163972</v>
      </c>
      <c r="C8" s="31" t="n">
        <f aca="false">PnL!$B$22/4.33</f>
        <v>1212.47113163972</v>
      </c>
      <c r="D8" s="31" t="n">
        <f aca="false">PnL!$B$22/4.33</f>
        <v>1212.47113163972</v>
      </c>
      <c r="E8" s="31" t="n">
        <f aca="false">PnL!$B$22/4.33</f>
        <v>1212.47113163972</v>
      </c>
      <c r="F8" s="31" t="n">
        <f aca="false">PnL!$B$22/4.33</f>
        <v>1212.47113163972</v>
      </c>
      <c r="G8" s="31" t="n">
        <f aca="false">PnL!$B$22/4.33</f>
        <v>1212.47113163972</v>
      </c>
      <c r="H8" s="31" t="n">
        <f aca="false">PnL!$B$22/4.33</f>
        <v>1212.47113163972</v>
      </c>
      <c r="I8" s="31" t="n">
        <f aca="false">PnL!$B$22/4.33</f>
        <v>1212.47113163972</v>
      </c>
      <c r="J8" s="31" t="n">
        <f aca="false">PnL!$B$22/4.33</f>
        <v>1212.47113163972</v>
      </c>
      <c r="K8" s="31" t="n">
        <f aca="false">PnL!$B$22/4.33</f>
        <v>1212.47113163972</v>
      </c>
      <c r="L8" s="31" t="n">
        <f aca="false">PnL!$B$22/4.33</f>
        <v>1212.47113163972</v>
      </c>
      <c r="M8" s="31" t="n">
        <f aca="false">PnL!$B$22/4.33</f>
        <v>1212.47113163972</v>
      </c>
      <c r="N8" s="31" t="n">
        <f aca="false">PnL!$B$22/4.33</f>
        <v>1212.47113163972</v>
      </c>
    </row>
    <row r="9" customFormat="false" ht="15" hidden="false" customHeight="false" outlineLevel="0" collapsed="false">
      <c r="A9" s="5" t="s">
        <v>134</v>
      </c>
      <c r="B9" s="31" t="n">
        <f aca="false">(PnL!$B$24+PnL!$B$25)/4.33</f>
        <v>0</v>
      </c>
      <c r="C9" s="31" t="n">
        <f aca="false">(PnL!$B$24+PnL!$B$25)/4.33</f>
        <v>0</v>
      </c>
      <c r="D9" s="31" t="n">
        <f aca="false">(PnL!$B$24+PnL!$B$25)/4.33</f>
        <v>0</v>
      </c>
      <c r="E9" s="31" t="n">
        <f aca="false">(PnL!$B$24+PnL!$B$25)/4.33</f>
        <v>0</v>
      </c>
      <c r="F9" s="31" t="n">
        <f aca="false">(PnL!$B$24+PnL!$B$25)/4.33</f>
        <v>0</v>
      </c>
      <c r="G9" s="31" t="n">
        <f aca="false">(PnL!$B$24+PnL!$B$25)/4.33</f>
        <v>0</v>
      </c>
      <c r="H9" s="31" t="n">
        <f aca="false">(PnL!$B$24+PnL!$B$25)/4.33</f>
        <v>0</v>
      </c>
      <c r="I9" s="31" t="n">
        <f aca="false">(PnL!$B$24+PnL!$B$25)/4.33</f>
        <v>0</v>
      </c>
      <c r="J9" s="31" t="n">
        <f aca="false">(PnL!$B$24+PnL!$B$25)/4.33</f>
        <v>0</v>
      </c>
      <c r="K9" s="31" t="n">
        <f aca="false">(PnL!$B$24+PnL!$B$25)/4.33</f>
        <v>0</v>
      </c>
      <c r="L9" s="31" t="n">
        <f aca="false">(PnL!$B$24+PnL!$B$25)/4.33</f>
        <v>0</v>
      </c>
      <c r="M9" s="31" t="n">
        <f aca="false">(PnL!$B$24+PnL!$B$25)/4.33</f>
        <v>0</v>
      </c>
      <c r="N9" s="31" t="n">
        <f aca="false">(PnL!$B$24+PnL!$B$25)/4.33</f>
        <v>0</v>
      </c>
    </row>
    <row r="10" customFormat="false" ht="15" hidden="false" customHeight="false" outlineLevel="0" collapsed="false">
      <c r="A10" s="5" t="s">
        <v>135</v>
      </c>
      <c r="B10" s="37" t="n">
        <v>0</v>
      </c>
      <c r="C10" s="37" t="n">
        <v>36000</v>
      </c>
      <c r="D10" s="37" t="n">
        <v>0</v>
      </c>
      <c r="E10" s="37" t="n">
        <v>0</v>
      </c>
      <c r="F10" s="37" t="n">
        <v>0</v>
      </c>
      <c r="G10" s="37" t="n">
        <v>0</v>
      </c>
      <c r="H10" s="37" t="n">
        <v>36000</v>
      </c>
      <c r="I10" s="37" t="n">
        <v>0</v>
      </c>
      <c r="J10" s="37" t="n">
        <v>0</v>
      </c>
      <c r="K10" s="37" t="n">
        <v>0</v>
      </c>
      <c r="L10" s="37" t="n">
        <v>0</v>
      </c>
      <c r="M10" s="37" t="n">
        <v>36000</v>
      </c>
      <c r="N10" s="37" t="n">
        <v>0</v>
      </c>
    </row>
    <row r="11" customFormat="false" ht="15" hidden="false" customHeight="false" outlineLevel="0" collapsed="false">
      <c r="A11" s="23" t="s">
        <v>136</v>
      </c>
      <c r="B11" s="32" t="n">
        <f aca="false">SUM(B6:B10)</f>
        <v>4578.63741339492</v>
      </c>
      <c r="C11" s="32" t="n">
        <f aca="false">SUM(C6:C10)</f>
        <v>40578.6374133949</v>
      </c>
      <c r="D11" s="32" t="n">
        <f aca="false">SUM(D6:D10)</f>
        <v>4578.63741339492</v>
      </c>
      <c r="E11" s="32" t="n">
        <f aca="false">SUM(E6:E10)</f>
        <v>4578.63741339492</v>
      </c>
      <c r="F11" s="32" t="n">
        <f aca="false">SUM(F6:F10)</f>
        <v>4578.63741339492</v>
      </c>
      <c r="G11" s="32" t="n">
        <f aca="false">SUM(G6:G10)</f>
        <v>4578.63741339492</v>
      </c>
      <c r="H11" s="32" t="n">
        <f aca="false">SUM(H6:H10)</f>
        <v>40578.6374133949</v>
      </c>
      <c r="I11" s="32" t="n">
        <f aca="false">SUM(I6:I10)</f>
        <v>4578.63741339492</v>
      </c>
      <c r="J11" s="32" t="n">
        <f aca="false">SUM(J6:J10)</f>
        <v>4578.63741339492</v>
      </c>
      <c r="K11" s="32" t="n">
        <f aca="false">SUM(K6:K10)</f>
        <v>4578.63741339492</v>
      </c>
      <c r="L11" s="32" t="n">
        <f aca="false">SUM(L6:L10)</f>
        <v>4578.63741339492</v>
      </c>
      <c r="M11" s="32" t="n">
        <f aca="false">SUM(M6:M10)</f>
        <v>40578.6374133949</v>
      </c>
      <c r="N11" s="32" t="n">
        <f aca="false">SUM(N6:N10)</f>
        <v>4578.63741339492</v>
      </c>
    </row>
    <row r="12" customFormat="false" ht="15" hidden="false" customHeight="false" outlineLevel="0" collapsed="false">
      <c r="A12" s="3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customFormat="false" ht="15" hidden="false" customHeight="false" outlineLevel="0" collapsed="false">
      <c r="A13" s="5" t="s">
        <v>138</v>
      </c>
      <c r="B13" s="31" t="n">
        <f aca="false">Assumptions!$B$33*12/52</f>
        <v>1384.61538461538</v>
      </c>
      <c r="C13" s="31" t="n">
        <f aca="false">Assumptions!$B$33*12/52</f>
        <v>1384.61538461538</v>
      </c>
      <c r="D13" s="31" t="n">
        <f aca="false">Assumptions!$B$33*12/52</f>
        <v>1384.61538461538</v>
      </c>
      <c r="E13" s="31" t="n">
        <f aca="false">Assumptions!$B$33*12/52</f>
        <v>1384.61538461538</v>
      </c>
      <c r="F13" s="31" t="n">
        <f aca="false">Assumptions!$B$33*12/52</f>
        <v>1384.61538461538</v>
      </c>
      <c r="G13" s="31" t="n">
        <f aca="false">Assumptions!$B$33*12/52</f>
        <v>1384.61538461538</v>
      </c>
      <c r="H13" s="31" t="n">
        <f aca="false">Assumptions!$B$33*12/52</f>
        <v>1384.61538461538</v>
      </c>
      <c r="I13" s="31" t="n">
        <f aca="false">Assumptions!$B$33*12/52</f>
        <v>1384.61538461538</v>
      </c>
      <c r="J13" s="31" t="n">
        <f aca="false">Assumptions!$B$33*12/52</f>
        <v>1384.61538461538</v>
      </c>
      <c r="K13" s="31" t="n">
        <f aca="false">Assumptions!$B$33*12/52</f>
        <v>1384.61538461538</v>
      </c>
      <c r="L13" s="31" t="n">
        <f aca="false">Assumptions!$B$33*12/52</f>
        <v>1384.61538461538</v>
      </c>
      <c r="M13" s="31" t="n">
        <f aca="false">Assumptions!$B$33*12/52</f>
        <v>1384.61538461538</v>
      </c>
      <c r="N13" s="31" t="n">
        <f aca="false">Assumptions!$B$33*12/52</f>
        <v>1384.61538461538</v>
      </c>
    </row>
    <row r="14" customFormat="false" ht="15" hidden="false" customHeight="false" outlineLevel="0" collapsed="false">
      <c r="A14" s="5" t="s">
        <v>30</v>
      </c>
      <c r="B14" s="31" t="n">
        <f aca="false">Assumptions!$B$34/4.33</f>
        <v>692.84064665127</v>
      </c>
      <c r="C14" s="31" t="n">
        <f aca="false">Assumptions!$B$34/4.33</f>
        <v>692.84064665127</v>
      </c>
      <c r="D14" s="31" t="n">
        <f aca="false">Assumptions!$B$34/4.33</f>
        <v>692.84064665127</v>
      </c>
      <c r="E14" s="31" t="n">
        <f aca="false">Assumptions!$B$34/4.33</f>
        <v>692.84064665127</v>
      </c>
      <c r="F14" s="31" t="n">
        <f aca="false">Assumptions!$B$34/4.33</f>
        <v>692.84064665127</v>
      </c>
      <c r="G14" s="31" t="n">
        <f aca="false">Assumptions!$B$34/4.33</f>
        <v>692.84064665127</v>
      </c>
      <c r="H14" s="31" t="n">
        <f aca="false">Assumptions!$B$34/4.33</f>
        <v>692.84064665127</v>
      </c>
      <c r="I14" s="31" t="n">
        <f aca="false">Assumptions!$B$34/4.33</f>
        <v>692.84064665127</v>
      </c>
      <c r="J14" s="31" t="n">
        <f aca="false">Assumptions!$B$34/4.33</f>
        <v>692.84064665127</v>
      </c>
      <c r="K14" s="31" t="n">
        <f aca="false">Assumptions!$B$34/4.33</f>
        <v>692.84064665127</v>
      </c>
      <c r="L14" s="31" t="n">
        <f aca="false">Assumptions!$B$34/4.33</f>
        <v>692.84064665127</v>
      </c>
      <c r="M14" s="31" t="n">
        <f aca="false">Assumptions!$B$34/4.33</f>
        <v>692.84064665127</v>
      </c>
      <c r="N14" s="31" t="n">
        <f aca="false">Assumptions!$B$34/4.33</f>
        <v>692.84064665127</v>
      </c>
    </row>
    <row r="15" customFormat="false" ht="15" hidden="false" customHeight="false" outlineLevel="0" collapsed="false">
      <c r="A15" s="5" t="s">
        <v>139</v>
      </c>
      <c r="B15" s="31" t="n">
        <f aca="false">(Assumptions!$B$35+Assumptions!$B$40+Assumptions!$B$38+Assumptions!$B$39)/4.33</f>
        <v>496.535796766744</v>
      </c>
      <c r="C15" s="31" t="n">
        <f aca="false">(Assumptions!$B$35+Assumptions!$B$40+Assumptions!$B$38+Assumptions!$B$39)/4.33</f>
        <v>496.535796766744</v>
      </c>
      <c r="D15" s="31" t="n">
        <f aca="false">(Assumptions!$B$35+Assumptions!$B$40+Assumptions!$B$38+Assumptions!$B$39)/4.33</f>
        <v>496.535796766744</v>
      </c>
      <c r="E15" s="31" t="n">
        <f aca="false">(Assumptions!$B$35+Assumptions!$B$40+Assumptions!$B$38+Assumptions!$B$39)/4.33</f>
        <v>496.535796766744</v>
      </c>
      <c r="F15" s="31" t="n">
        <f aca="false">(Assumptions!$B$35+Assumptions!$B$40+Assumptions!$B$38+Assumptions!$B$39)/4.33</f>
        <v>496.535796766744</v>
      </c>
      <c r="G15" s="31" t="n">
        <f aca="false">(Assumptions!$B$35+Assumptions!$B$40+Assumptions!$B$38+Assumptions!$B$39)/4.33</f>
        <v>496.535796766744</v>
      </c>
      <c r="H15" s="31" t="n">
        <f aca="false">(Assumptions!$B$35+Assumptions!$B$40+Assumptions!$B$38+Assumptions!$B$39)/4.33</f>
        <v>496.535796766744</v>
      </c>
      <c r="I15" s="31" t="n">
        <f aca="false">(Assumptions!$B$35+Assumptions!$B$40+Assumptions!$B$38+Assumptions!$B$39)/4.33</f>
        <v>496.535796766744</v>
      </c>
      <c r="J15" s="31" t="n">
        <f aca="false">(Assumptions!$B$35+Assumptions!$B$40+Assumptions!$B$38+Assumptions!$B$39)/4.33</f>
        <v>496.535796766744</v>
      </c>
      <c r="K15" s="31" t="n">
        <f aca="false">(Assumptions!$B$35+Assumptions!$B$40+Assumptions!$B$38+Assumptions!$B$39)/4.33</f>
        <v>496.535796766744</v>
      </c>
      <c r="L15" s="31" t="n">
        <f aca="false">(Assumptions!$B$35+Assumptions!$B$40+Assumptions!$B$38+Assumptions!$B$39)/4.33</f>
        <v>496.535796766744</v>
      </c>
      <c r="M15" s="31" t="n">
        <f aca="false">(Assumptions!$B$35+Assumptions!$B$40+Assumptions!$B$38+Assumptions!$B$39)/4.33</f>
        <v>496.535796766744</v>
      </c>
      <c r="N15" s="31" t="n">
        <f aca="false">(Assumptions!$B$35+Assumptions!$B$40+Assumptions!$B$38+Assumptions!$B$39)/4.33</f>
        <v>496.535796766744</v>
      </c>
    </row>
    <row r="16" customFormat="false" ht="15" hidden="false" customHeight="false" outlineLevel="0" collapsed="false">
      <c r="A16" s="5" t="s">
        <v>107</v>
      </c>
      <c r="B16" s="31" t="n">
        <f aca="false">Assumptions!$B$36/4.33</f>
        <v>0</v>
      </c>
      <c r="C16" s="31" t="n">
        <f aca="false">Assumptions!$B$36/4.33</f>
        <v>0</v>
      </c>
      <c r="D16" s="31" t="n">
        <f aca="false">Assumptions!$B$36/4.33</f>
        <v>0</v>
      </c>
      <c r="E16" s="31" t="n">
        <f aca="false">Assumptions!$B$36/4.33</f>
        <v>0</v>
      </c>
      <c r="F16" s="31" t="n">
        <f aca="false">Assumptions!$B$36/4.33</f>
        <v>0</v>
      </c>
      <c r="G16" s="31" t="n">
        <f aca="false">Assumptions!$B$36/4.33</f>
        <v>0</v>
      </c>
      <c r="H16" s="31" t="n">
        <f aca="false">Assumptions!$B$36/4.33</f>
        <v>0</v>
      </c>
      <c r="I16" s="31" t="n">
        <f aca="false">Assumptions!$B$36/4.33</f>
        <v>0</v>
      </c>
      <c r="J16" s="31" t="n">
        <f aca="false">Assumptions!$B$36/4.33</f>
        <v>0</v>
      </c>
      <c r="K16" s="31" t="n">
        <f aca="false">Assumptions!$B$36/4.33</f>
        <v>0</v>
      </c>
      <c r="L16" s="31" t="n">
        <f aca="false">Assumptions!$B$36/4.33</f>
        <v>0</v>
      </c>
      <c r="M16" s="31" t="n">
        <f aca="false">Assumptions!$B$36/4.33</f>
        <v>0</v>
      </c>
      <c r="N16" s="31" t="n">
        <f aca="false">Assumptions!$B$36/4.33</f>
        <v>0</v>
      </c>
    </row>
    <row r="17" customFormat="false" ht="15" hidden="false" customHeight="false" outlineLevel="0" collapsed="false">
      <c r="A17" s="5" t="s">
        <v>140</v>
      </c>
      <c r="B17" s="31" t="n">
        <f aca="false">Assumptions!$B$37/4.33</f>
        <v>346.420323325635</v>
      </c>
      <c r="C17" s="31" t="n">
        <f aca="false">Assumptions!$B$37/4.33</f>
        <v>346.420323325635</v>
      </c>
      <c r="D17" s="31" t="n">
        <f aca="false">Assumptions!$B$37/4.33</f>
        <v>346.420323325635</v>
      </c>
      <c r="E17" s="31" t="n">
        <f aca="false">Assumptions!$B$37/4.33</f>
        <v>346.420323325635</v>
      </c>
      <c r="F17" s="31" t="n">
        <f aca="false">Assumptions!$B$37/4.33</f>
        <v>346.420323325635</v>
      </c>
      <c r="G17" s="31" t="n">
        <f aca="false">Assumptions!$B$37/4.33</f>
        <v>346.420323325635</v>
      </c>
      <c r="H17" s="31" t="n">
        <f aca="false">Assumptions!$B$37/4.33</f>
        <v>346.420323325635</v>
      </c>
      <c r="I17" s="31" t="n">
        <f aca="false">Assumptions!$B$37/4.33</f>
        <v>346.420323325635</v>
      </c>
      <c r="J17" s="31" t="n">
        <f aca="false">Assumptions!$B$37/4.33</f>
        <v>346.420323325635</v>
      </c>
      <c r="K17" s="31" t="n">
        <f aca="false">Assumptions!$B$37/4.33</f>
        <v>346.420323325635</v>
      </c>
      <c r="L17" s="31" t="n">
        <f aca="false">Assumptions!$B$37/4.33</f>
        <v>346.420323325635</v>
      </c>
      <c r="M17" s="31" t="n">
        <f aca="false">Assumptions!$B$37/4.33</f>
        <v>346.420323325635</v>
      </c>
      <c r="N17" s="31" t="n">
        <f aca="false">Assumptions!$B$37/4.33</f>
        <v>346.420323325635</v>
      </c>
    </row>
    <row r="18" customFormat="false" ht="15" hidden="false" customHeight="false" outlineLevel="0" collapsed="false">
      <c r="A18" s="5" t="s">
        <v>141</v>
      </c>
      <c r="B18" s="37" t="n">
        <v>0</v>
      </c>
      <c r="C18" s="37" t="n">
        <v>0</v>
      </c>
      <c r="D18" s="37" t="n">
        <v>0</v>
      </c>
      <c r="E18" s="37" t="n">
        <v>0</v>
      </c>
      <c r="F18" s="37" t="n">
        <v>0</v>
      </c>
      <c r="G18" s="37" t="n">
        <v>0</v>
      </c>
      <c r="H18" s="37" t="n">
        <v>0</v>
      </c>
      <c r="I18" s="37" t="n">
        <v>0</v>
      </c>
      <c r="J18" s="37" t="n">
        <v>0</v>
      </c>
      <c r="K18" s="37" t="n">
        <v>0</v>
      </c>
      <c r="L18" s="37" t="n">
        <v>0</v>
      </c>
      <c r="M18" s="37" t="n">
        <v>0</v>
      </c>
      <c r="N18" s="37" t="n">
        <v>9000</v>
      </c>
    </row>
    <row r="19" customFormat="false" ht="15" hidden="false" customHeight="false" outlineLevel="0" collapsed="false">
      <c r="A19" s="23" t="s">
        <v>142</v>
      </c>
      <c r="B19" s="32" t="n">
        <f aca="false">SUM(B13:B18)</f>
        <v>2920.41215135903</v>
      </c>
      <c r="C19" s="32" t="n">
        <f aca="false">SUM(C13:C18)</f>
        <v>2920.41215135903</v>
      </c>
      <c r="D19" s="32" t="n">
        <f aca="false">SUM(D13:D18)</f>
        <v>2920.41215135903</v>
      </c>
      <c r="E19" s="32" t="n">
        <f aca="false">SUM(E13:E18)</f>
        <v>2920.41215135903</v>
      </c>
      <c r="F19" s="32" t="n">
        <f aca="false">SUM(F13:F18)</f>
        <v>2920.41215135903</v>
      </c>
      <c r="G19" s="32" t="n">
        <f aca="false">SUM(G13:G18)</f>
        <v>2920.41215135903</v>
      </c>
      <c r="H19" s="32" t="n">
        <f aca="false">SUM(H13:H18)</f>
        <v>2920.41215135903</v>
      </c>
      <c r="I19" s="32" t="n">
        <f aca="false">SUM(I13:I18)</f>
        <v>2920.41215135903</v>
      </c>
      <c r="J19" s="32" t="n">
        <f aca="false">SUM(J13:J18)</f>
        <v>2920.41215135903</v>
      </c>
      <c r="K19" s="32" t="n">
        <f aca="false">SUM(K13:K18)</f>
        <v>2920.41215135903</v>
      </c>
      <c r="L19" s="32" t="n">
        <f aca="false">SUM(L13:L18)</f>
        <v>2920.41215135903</v>
      </c>
      <c r="M19" s="32" t="n">
        <f aca="false">SUM(M13:M18)</f>
        <v>2920.41215135903</v>
      </c>
      <c r="N19" s="32" t="n">
        <f aca="false">SUM(N13:N18)</f>
        <v>11920.412151359</v>
      </c>
    </row>
    <row r="20" customFormat="false" ht="15" hidden="false" customHeight="false" outlineLevel="0" collapsed="false">
      <c r="A20" s="23" t="s">
        <v>143</v>
      </c>
      <c r="B20" s="32" t="n">
        <f aca="false">B4+B11-B19</f>
        <v>121658.225262036</v>
      </c>
      <c r="C20" s="32" t="n">
        <f aca="false">C4+C11-C19</f>
        <v>159316.450524072</v>
      </c>
      <c r="D20" s="32" t="n">
        <f aca="false">D4+D11-D19</f>
        <v>160974.675786108</v>
      </c>
      <c r="E20" s="32" t="n">
        <f aca="false">E4+E11-E19</f>
        <v>162632.901048144</v>
      </c>
      <c r="F20" s="32" t="n">
        <f aca="false">F4+F11-F19</f>
        <v>164291.12631018</v>
      </c>
      <c r="G20" s="32" t="n">
        <f aca="false">G4+G11-G19</f>
        <v>165949.351572215</v>
      </c>
      <c r="H20" s="32" t="n">
        <f aca="false">H4+H11-H19</f>
        <v>203607.576834251</v>
      </c>
      <c r="I20" s="32" t="n">
        <f aca="false">I4+I11-I19</f>
        <v>205265.802096287</v>
      </c>
      <c r="J20" s="32" t="n">
        <f aca="false">J4+J11-J19</f>
        <v>206924.027358323</v>
      </c>
      <c r="K20" s="32" t="n">
        <f aca="false">K4+K11-K19</f>
        <v>208582.252620359</v>
      </c>
      <c r="L20" s="32" t="n">
        <f aca="false">L4+L11-L19</f>
        <v>210240.477882395</v>
      </c>
      <c r="M20" s="32" t="n">
        <f aca="false">M4+M11-M19</f>
        <v>247898.703144431</v>
      </c>
      <c r="N20" s="32" t="n">
        <f aca="false">N4+N11-N19</f>
        <v>240556.928406467</v>
      </c>
    </row>
    <row r="21" customFormat="false" ht="15" hidden="false" customHeight="false" outlineLevel="0" collapsed="false">
      <c r="A21" s="5" t="s">
        <v>144</v>
      </c>
      <c r="B21" s="31" t="n">
        <f aca="false">B11-B19</f>
        <v>1658.22526203589</v>
      </c>
      <c r="C21" s="31" t="n">
        <f aca="false">C11-C19</f>
        <v>37658.2252620359</v>
      </c>
      <c r="D21" s="31" t="n">
        <f aca="false">D11-D19</f>
        <v>1658.22526203589</v>
      </c>
      <c r="E21" s="31" t="n">
        <f aca="false">E11-E19</f>
        <v>1658.22526203589</v>
      </c>
      <c r="F21" s="31" t="n">
        <f aca="false">F11-F19</f>
        <v>1658.22526203589</v>
      </c>
      <c r="G21" s="31" t="n">
        <f aca="false">G11-G19</f>
        <v>1658.22526203589</v>
      </c>
      <c r="H21" s="31" t="n">
        <f aca="false">H11-H19</f>
        <v>37658.2252620359</v>
      </c>
      <c r="I21" s="31" t="n">
        <f aca="false">I11-I19</f>
        <v>1658.22526203589</v>
      </c>
      <c r="J21" s="31" t="n">
        <f aca="false">J11-J19</f>
        <v>1658.22526203589</v>
      </c>
      <c r="K21" s="31" t="n">
        <f aca="false">K11-K19</f>
        <v>1658.22526203589</v>
      </c>
      <c r="L21" s="31" t="n">
        <f aca="false">L11-L19</f>
        <v>1658.22526203589</v>
      </c>
      <c r="M21" s="31" t="n">
        <f aca="false">M11-M19</f>
        <v>37658.2252620359</v>
      </c>
      <c r="N21" s="31" t="n">
        <f aca="false">N11-N19</f>
        <v>-7341.77473796411</v>
      </c>
    </row>
    <row r="23" customFormat="false" ht="15" hidden="false" customHeight="false" outlineLevel="0" collapsed="false">
      <c r="A23" s="38" t="s">
        <v>145</v>
      </c>
      <c r="B23" s="38"/>
      <c r="C23" s="32" t="n">
        <f aca="false">MIN(B20:N20)</f>
        <v>121658.225262036</v>
      </c>
    </row>
  </sheetData>
  <mergeCells count="3">
    <mergeCell ref="A1:N1"/>
    <mergeCell ref="A2:N2"/>
    <mergeCell ref="A23:B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5"/>
  </cols>
  <sheetData>
    <row r="1" customFormat="false" ht="15" hidden="false" customHeight="false" outlineLevel="0" collapsed="false">
      <c r="A1" s="1" t="s">
        <v>146</v>
      </c>
      <c r="B1" s="1"/>
      <c r="C1" s="1"/>
      <c r="D1" s="1"/>
      <c r="E1" s="1"/>
    </row>
    <row r="3" customFormat="false" ht="15" hidden="false" customHeight="false" outlineLevel="0" collapsed="false">
      <c r="A3" s="5" t="s">
        <v>147</v>
      </c>
      <c r="B3" s="14" t="n">
        <f aca="false">Assumptions!$B$43</f>
        <v>120000</v>
      </c>
    </row>
    <row r="4" customFormat="false" ht="15" hidden="false" customHeight="false" outlineLevel="0" collapsed="false">
      <c r="A4" s="5" t="s">
        <v>148</v>
      </c>
      <c r="B4" s="16" t="n">
        <f aca="false">AVERAGE(PnL!B48:D48)</f>
        <v>9387.2176525</v>
      </c>
    </row>
    <row r="5" customFormat="false" ht="15" hidden="false" customHeight="false" outlineLevel="0" collapsed="false">
      <c r="A5" s="5" t="s">
        <v>149</v>
      </c>
      <c r="B5" s="16" t="n">
        <f aca="false">MAX(0,-B4)</f>
        <v>0</v>
      </c>
    </row>
    <row r="6" customFormat="false" ht="15" hidden="false" customHeight="false" outlineLevel="0" collapsed="false">
      <c r="A6" s="23" t="s">
        <v>150</v>
      </c>
      <c r="B6" s="39" t="str">
        <f aca="false">IF(B5=0,"cash-flow positive",B3/B5)</f>
        <v>cash-flow positive</v>
      </c>
    </row>
    <row r="7" customFormat="false" ht="15" hidden="false" customHeight="false" outlineLevel="0" collapsed="false">
      <c r="A7" s="5" t="s">
        <v>151</v>
      </c>
      <c r="B7" s="14" t="n">
        <f aca="false">PnL!N48</f>
        <v>516017.606752161</v>
      </c>
    </row>
    <row r="9" customFormat="false" ht="15" hidden="false" customHeight="false" outlineLevel="0" collapsed="false">
      <c r="A9" s="3" t="s">
        <v>152</v>
      </c>
      <c r="B9" s="4"/>
      <c r="C9" s="4"/>
      <c r="D9" s="4"/>
      <c r="E9" s="4"/>
    </row>
    <row r="10" customFormat="false" ht="15" hidden="false" customHeight="false" outlineLevel="0" collapsed="false">
      <c r="A10" s="40" t="s">
        <v>153</v>
      </c>
      <c r="B10" s="40" t="s">
        <v>154</v>
      </c>
      <c r="C10" s="40" t="s">
        <v>155</v>
      </c>
      <c r="D10" s="40" t="s">
        <v>110</v>
      </c>
      <c r="E10" s="40" t="s">
        <v>143</v>
      </c>
    </row>
    <row r="11" customFormat="false" ht="15" hidden="false" customHeight="false" outlineLevel="0" collapsed="false">
      <c r="A11" s="41" t="s">
        <v>156</v>
      </c>
      <c r="B11" s="16" t="n">
        <f aca="false">PnL!$N$26*0.8</f>
        <v>800966.856275491</v>
      </c>
      <c r="C11" s="16" t="n">
        <f aca="false">PnL!$N$34+PnL!$N$47</f>
        <v>485190.963592202</v>
      </c>
      <c r="D11" s="16" t="n">
        <f aca="false">B11-C11</f>
        <v>315775.892683289</v>
      </c>
      <c r="E11" s="16" t="n">
        <f aca="false">Assumptions!$B$43+D11</f>
        <v>435775.892683289</v>
      </c>
    </row>
    <row r="12" customFormat="false" ht="15" hidden="false" customHeight="false" outlineLevel="0" collapsed="false">
      <c r="A12" s="41" t="s">
        <v>157</v>
      </c>
      <c r="B12" s="16" t="n">
        <f aca="false">PnL!$N$26*1</f>
        <v>1001208.57034436</v>
      </c>
      <c r="C12" s="16" t="n">
        <f aca="false">PnL!$N$34+PnL!$N$47</f>
        <v>485190.963592202</v>
      </c>
      <c r="D12" s="16" t="n">
        <f aca="false">B12-C12</f>
        <v>516017.606752161</v>
      </c>
      <c r="E12" s="16" t="n">
        <f aca="false">Assumptions!$B$43+D12</f>
        <v>636017.606752161</v>
      </c>
    </row>
    <row r="13" customFormat="false" ht="15" hidden="false" customHeight="false" outlineLevel="0" collapsed="false">
      <c r="A13" s="41" t="s">
        <v>158</v>
      </c>
      <c r="B13" s="16" t="n">
        <f aca="false">PnL!$N$26*1.2</f>
        <v>1201450.28441324</v>
      </c>
      <c r="C13" s="16" t="n">
        <f aca="false">PnL!$N$34+PnL!$N$47</f>
        <v>485190.963592202</v>
      </c>
      <c r="D13" s="16" t="n">
        <f aca="false">B13-C13</f>
        <v>716259.320821034</v>
      </c>
      <c r="E13" s="16" t="n">
        <f aca="false">Assumptions!$B$43+D13</f>
        <v>836259.320821034</v>
      </c>
    </row>
    <row r="15" customFormat="false" ht="15" hidden="false" customHeight="false" outlineLevel="0" collapsed="false">
      <c r="A15" s="22" t="s">
        <v>159</v>
      </c>
      <c r="B15" s="22"/>
      <c r="C15" s="22"/>
      <c r="D15" s="22"/>
      <c r="E15" s="22"/>
    </row>
  </sheetData>
  <mergeCells count="2">
    <mergeCell ref="A1:E1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2026-07-13T01:58:47Z</dcterms:created>
  <dc:creator>openpyxl</dc:creator>
  <dc:description/>
  <dc:language>en-US</dc:language>
  <cp:lastModifiedBy/>
  <dcterms:modified xsi:type="dcterms:W3CDTF">2026-07-13T01:58:47Z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